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mmc\xwechat_files\wxid_k6349sg1qf6622_7573\msg\file\2026-04\"/>
    </mc:Choice>
  </mc:AlternateContent>
  <xr:revisionPtr revIDLastSave="0" documentId="13_ncr:1_{51439F34-F6E9-4564-B0E4-98B340999CD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ummary" sheetId="1" r:id="rId1"/>
    <sheet name="names" sheetId="4" state="hidden" r:id="rId2"/>
    <sheet name="Graph" sheetId="25" r:id="rId3"/>
    <sheet name="C1" sheetId="5" r:id="rId4"/>
  </sheets>
  <functionGroups builtInGroupCount="19"/>
  <definedNames>
    <definedName name="_xlpm.A" hidden="1" xlm="1">#NAME?</definedName>
    <definedName name="_xlpm.B" hidden="1" xlm="1">#NAME?</definedName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title">CONCATENATE([0]!graph_a_y_title, " (Graph a)")</definedName>
    <definedName name="graph_a_x_range_A">IF(ISREF([0]!graph_a_x_range_A_),[0]!graph_a_x_range_A_,{0})</definedName>
    <definedName name="graph_a_x_range_A_">INDEX(INDIRECT(VLOOKUP("range." &amp;#REF! &amp;"." &amp;#REF!, names!$A:$B,2,0)), 0, VLOOKUP("col." &amp;#REF! &amp;".A." &amp;#REF!, names!$A:$B,2,0))</definedName>
    <definedName name="graph_a_x_range_B">IF(ISREF([0]!graph_a_x_range_B_),[0]!graph_a_x_range_B_,{0})</definedName>
    <definedName name="graph_a_x_range_B_">INDEX(INDIRECT(VLOOKUP("range." &amp;#REF! &amp;"." &amp;#REF!, names!$A:$B,2,0)), 0, VLOOKUP("col." &amp;#REF! &amp;".B." &amp;#REF!, names!$A:$B,2,0))</definedName>
    <definedName name="graph_a_x_title">OFFSET([0]!all_cols, MATCH(#REF!, [0]!all_cols, 0)-1,1,1,1)</definedName>
    <definedName name="graph_a_y_range_A">IF(ISREF([0]!graph_a_y_range_A_),[0]!graph_a_y_range_A_,{0})</definedName>
    <definedName name="graph_a_y_range_A_">INDEX(INDIRECT(VLOOKUP("range." &amp;#REF! &amp;"." &amp;#REF!, names!$A:$B,2,0)), 0, VLOOKUP("col." &amp;#REF! &amp;".A." &amp;#REF!, names!$A:$B,2,0))</definedName>
    <definedName name="graph_a_y_range_B">IF(ISREF([0]!graph_a_y_range_B_),[0]!graph_a_y_range_B_,{0})</definedName>
    <definedName name="graph_a_y_range_B_">INDEX(INDIRECT(VLOOKUP("range." &amp;#REF! &amp;"." &amp;#REF!, names!$A:$B,2,0)), 0, VLOOKUP("col." &amp;#REF! &amp;".B." &amp;#REF!, names!$A:$B,2,0))</definedName>
    <definedName name="graph_a_y_title">OFFSET([0]!all_cols, MATCH(#REF!, [0]!all_cols, 0)-1,1,1,1)</definedName>
    <definedName name="graph_b_A_title">INDIRECT(VLOOKUP("name.A."&amp;#REF!,names!$A:$B,2,0))</definedName>
    <definedName name="graph_b_B_title">INDIRECT(VLOOKUP("name.B."&amp;#REF!,names!$A:$B,2,0))</definedName>
    <definedName name="graph_b_title">CONCATENATE([0]!graph_b_y_title, " (Graph b)")</definedName>
    <definedName name="graph_b_x_range_A">IF(ISREF([0]!graph_b_x_range_A_),[0]!graph_b_x_range_A_,{0})</definedName>
    <definedName name="graph_b_x_range_A_">INDEX(INDIRECT(VLOOKUP("range." &amp;#REF! &amp;"." &amp;#REF!, names!$A:$B,2,0)), 0, VLOOKUP("col." &amp;#REF! &amp;".A." &amp;#REF!, names!$A:$B,2,0))</definedName>
    <definedName name="graph_b_x_range_B">IF(ISREF([0]!graph_b_x_range_B_),[0]!graph_b_x_range_B_,{0})</definedName>
    <definedName name="graph_b_x_range_B_">INDEX(INDIRECT(VLOOKUP("range." &amp;#REF! &amp;"." &amp;#REF!, names!$A:$B,2,0)), 0, VLOOKUP("col." &amp;#REF! &amp;".B." &amp;#REF!, names!$A:$B,2,0))</definedName>
    <definedName name="graph_b_x_title">OFFSET([0]!all_cols, MATCH(#REF!, [0]!all_cols, 0)-1,1,1,1)</definedName>
    <definedName name="graph_b_y_range_A">IF(ISREF([0]!graph_b_y_range_A_),[0]!graph_b_y_range_A_,{0})</definedName>
    <definedName name="graph_b_y_range_A_">INDEX(INDIRECT(VLOOKUP("range." &amp;#REF! &amp;"." &amp;#REF!, names!$A:$B,2,0)), 0, VLOOKUP("col." &amp;#REF! &amp;".A." &amp;#REF!, names!$A:$B,2,0))</definedName>
    <definedName name="graph_b_y_range_B">IF(ISREF([0]!graph_b_y_range_B_),[0]!graph_b_y_range_B_,{0})</definedName>
    <definedName name="graph_b_y_range_B_">INDEX(INDIRECT(VLOOKUP("range." &amp;#REF! &amp;"." &amp;#REF!, names!$A:$B,2,0)), 0, VLOOKUP("col." &amp;#REF! &amp;".B." &amp;#REF!, names!$A:$B,2,0))</definedName>
    <definedName name="graph_b_y_title">OFFSET([0]!all_cols, MATCH(#REF!, [0]!all_cols, 0)-1,1,1,1)</definedName>
    <definedName name="graph_c_A_title">INDIRECT(VLOOKUP("name.A."&amp;#REF!,names!$A:$B,2,0))</definedName>
    <definedName name="graph_c_B_title">INDIRECT(VLOOKUP("name.B."&amp;#REF!,names!$A:$B,2,0))</definedName>
    <definedName name="graph_c_title">CONCATENATE([0]!graph_c_y_title, " (Graph c)")</definedName>
    <definedName name="graph_c_x_range_A">IF(ISREF([0]!graph_c_x_range_A_),[0]!graph_c_x_range_A_,{0})</definedName>
    <definedName name="graph_c_x_range_A_">INDEX(INDIRECT(VLOOKUP("range." &amp;#REF! &amp;"." &amp;#REF!, names!$A:$B,2,0)), 0, VLOOKUP("col." &amp;#REF! &amp;".A." &amp;#REF!, names!$A:$B,2,0))</definedName>
    <definedName name="graph_c_x_range_B">IF(ISREF([0]!graph_c_x_range_B_),[0]!graph_c_x_range_B_,{0})</definedName>
    <definedName name="graph_c_x_range_B_">INDEX(INDIRECT(VLOOKUP("range." &amp;#REF! &amp;"." &amp;#REF!, names!$A:$B,2,0)), 0, VLOOKUP("col." &amp;#REF! &amp;".B." &amp;#REF!, names!$A:$B,2,0))</definedName>
    <definedName name="graph_c_x_title">OFFSET([0]!all_cols, MATCH(#REF!, [0]!all_cols, 0)-1,1,1,1)</definedName>
    <definedName name="graph_c_y_range_A">IF(ISREF([0]!graph_c_y_range_A_),[0]!graph_c_y_range_A_,{0})</definedName>
    <definedName name="graph_c_y_range_A_">INDEX(INDIRECT(VLOOKUP("range." &amp;#REF! &amp;"." &amp;#REF!, names!$A:$B,2,0)), 0, VLOOKUP("col." &amp;#REF! &amp;".A." &amp;#REF!, names!$A:$B,2,0))</definedName>
    <definedName name="graph_c_y_range_B">IF(ISREF([0]!graph_c_y_range_B_),[0]!graph_c_y_range_B_,{0})</definedName>
    <definedName name="graph_c_y_range_B_">INDEX(INDIRECT(VLOOKUP("range." &amp;#REF! &amp;"." &amp;#REF!, names!$A:$B,2,0)), 0, VLOOKUP("col." &amp;#REF! &amp;".B." &amp;#REF!, names!$A:$B,2,0))</definedName>
    <definedName name="graph_c_y_title">OFFSET([0]!all_cols, MATCH(#REF!, [0]!all_cols, 0)-1,1,1,1)</definedName>
    <definedName name="graph_d_A_title">INDIRECT(VLOOKUP("name.A."&amp;#REF!,names!$A:$B,2,0))</definedName>
    <definedName name="graph_d_B_title">INDIRECT(VLOOKUP("name.B."&amp;#REF!,names!$A:$B,2,0))</definedName>
    <definedName name="graph_d_title">CONCATENATE([0]!graph_d_y_title, " (Graph d)")</definedName>
    <definedName name="graph_d_x_range_A">IF(ISREF([0]!graph_d_x_range_A_),[0]!graph_d_x_range_A_,{0})</definedName>
    <definedName name="graph_d_x_range_A_">INDEX(INDIRECT(VLOOKUP("range." &amp;#REF! &amp;"." &amp;#REF!, names!$A:$B,2,0)), 0, VLOOKUP("col." &amp;#REF! &amp;".A." &amp;#REF!, names!$A:$B,2,0))</definedName>
    <definedName name="graph_d_x_range_B">IF(ISREF([0]!graph_d_x_range_B_),[0]!graph_d_x_range_B_,{0})</definedName>
    <definedName name="graph_d_x_range_B_">INDEX(INDIRECT(VLOOKUP("range." &amp;#REF! &amp;"." &amp;#REF!, names!$A:$B,2,0)), 0, VLOOKUP("col." &amp;#REF! &amp;".B." &amp;#REF!, names!$A:$B,2,0))</definedName>
    <definedName name="graph_d_x_title">OFFSET([0]!all_cols, MATCH(#REF!, [0]!all_cols, 0)-1,1,1,1)</definedName>
    <definedName name="graph_d_y_range_A">IF(ISREF([0]!graph_d_y_range_A_),[0]!graph_d_y_range_A_,{0})</definedName>
    <definedName name="graph_d_y_range_A_">INDEX(INDIRECT(VLOOKUP("range." &amp;#REF! &amp;"." &amp;#REF!, names!$A:$B,2,0)), 0, VLOOKUP("col." &amp;#REF! &amp;".A." &amp;#REF!, names!$A:$B,2,0))</definedName>
    <definedName name="graph_d_y_range_B">IF(ISREF([0]!graph_d_y_range_B_),[0]!graph_d_y_range_B_,{0})</definedName>
    <definedName name="graph_d_y_range_B_">INDEX(INDIRECT(VLOOKUP("range." &amp;#REF! &amp;"." &amp;#REF!, names!$A:$B,2,0)), 0, VLOOKUP("col." &amp;#REF! &amp;".B." &amp;#REF!, names!$A:$B,2,0))</definedName>
    <definedName name="graph_d_y_title">OFFSET([0]!all_cols, MATCH(#REF!, [0]!all_cols, 0)-1,1,1,1)</definedName>
    <definedName name="graph_e_A_title">INDIRECT(VLOOKUP("name.A."&amp;#REF!,names!$A:$B,2,0))</definedName>
    <definedName name="graph_e_B_title">INDIRECT(VLOOKUP("name.B."&amp;#REF!,names!$A:$B,2,0))</definedName>
    <definedName name="graph_e_title">CONCATENATE([0]!graph_e_y_title, " (Graph e)")</definedName>
    <definedName name="graph_e_x_range_A">IF(ISREF([0]!graph_e_x_range_A_),[0]!graph_e_x_range_A_,{0})</definedName>
    <definedName name="graph_e_x_range_A_">INDEX(INDIRECT(VLOOKUP("range." &amp;#REF! &amp;"." &amp;#REF!, names!$A:$B,2,0)), 0, VLOOKUP("col." &amp;#REF! &amp;".A." &amp;#REF!, names!$A:$B,2,0))</definedName>
    <definedName name="graph_e_x_range_B">IF(ISREF([0]!graph_e_x_range_B_),[0]!graph_e_x_range_B_,{0})</definedName>
    <definedName name="graph_e_x_range_B_">INDEX(INDIRECT(VLOOKUP("range." &amp;#REF! &amp;"." &amp;#REF!, names!$A:$B,2,0)), 0, VLOOKUP("col." &amp;#REF! &amp;".B." &amp;#REF!, names!$A:$B,2,0))</definedName>
    <definedName name="graph_e_x_title">OFFSET([0]!all_cols, MATCH(#REF!, [0]!all_cols, 0)-1,1,1,1)</definedName>
    <definedName name="graph_e_y_range_A">IF(ISREF([0]!graph_e_y_range_A_),[0]!graph_e_y_range_A_,{0})</definedName>
    <definedName name="graph_e_y_range_A_">INDEX(INDIRECT(VLOOKUP("range." &amp;#REF! &amp;"." &amp;#REF!, names!$A:$B,2,0)), 0, VLOOKUP("col." &amp;#REF! &amp;".A." &amp;#REF!, names!$A:$B,2,0))</definedName>
    <definedName name="graph_e_y_range_B">IF(ISREF([0]!graph_e_y_range_B_),[0]!graph_e_y_range_B_,{0})</definedName>
    <definedName name="graph_e_y_range_B_">INDEX(INDIRECT(VLOOKUP("range." &amp;#REF! &amp;"." &amp;#REF!, names!$A:$B,2,0)), 0, VLOOKUP("col." &amp;#REF! &amp;".B." &amp;#REF!, names!$A:$B,2,0))</definedName>
    <definedName name="graph_e_y_title">OFFSET([0]!all_cols, MATCH(#REF!, [0]!all_cols, 0)-1,1,1,1)</definedName>
    <definedName name="graph_f_A_title">INDIRECT(VLOOKUP("name.A."&amp;#REF!,names!$A:$B,2,0))</definedName>
    <definedName name="graph_f_B_title">INDIRECT(VLOOKUP("name.B."&amp;#REF!,names!$A:$B,2,0))</definedName>
    <definedName name="graph_f_title">CONCATENATE([0]!graph_f_y_title, " (Graph f)")</definedName>
    <definedName name="graph_f_x_range_A">IF(ISREF([0]!graph_f_x_range_A_),[0]!graph_f_x_range_A_,{0})</definedName>
    <definedName name="graph_f_x_range_A_">INDEX(INDIRECT(VLOOKUP("range." &amp;#REF! &amp;"." &amp;#REF!, names!$A:$B,2,0)), 0, VLOOKUP("col." &amp;#REF! &amp;".A." &amp;#REF!, names!$A:$B,2,0))</definedName>
    <definedName name="graph_f_x_range_B">IF(ISREF([0]!graph_f_x_range_B_),[0]!graph_f_x_range_B_,{0})</definedName>
    <definedName name="graph_f_x_range_B_">INDEX(INDIRECT(VLOOKUP("range." &amp;#REF! &amp;"." &amp;#REF!, names!$A:$B,2,0)), 0, VLOOKUP("col." &amp;#REF! &amp;".B." &amp;#REF!, names!$A:$B,2,0))</definedName>
    <definedName name="graph_f_x_title">OFFSET([0]!all_cols, MATCH(#REF!, [0]!all_cols, 0)-1,1,1,1)</definedName>
    <definedName name="graph_f_y_range_A">IF(ISREF([0]!graph_f_y_range_A_),[0]!graph_f_y_range_A_,{0})</definedName>
    <definedName name="graph_f_y_range_A_">INDEX(INDIRECT(VLOOKUP("range." &amp;#REF! &amp;"." &amp;#REF!, names!$A:$B,2,0)), 0, VLOOKUP("col." &amp;#REF! &amp;".A." &amp;#REF!, names!$A:$B,2,0))</definedName>
    <definedName name="graph_f_y_range_B">IF(ISREF([0]!graph_f_y_range_B_),[0]!graph_f_y_range_B_,{0})</definedName>
    <definedName name="graph_f_y_range_B_">INDEX(INDIRECT(VLOOKUP("range." &amp;#REF! &amp;"." &amp;#REF!, names!$A:$B,2,0)), 0, VLOOKUP("col." &amp;#REF! &amp;".B." &amp;#REF!, names!$A:$B,2,0))</definedName>
    <definedName name="graph_f_y_title">OFFSET([0]!all_cols, MATCH(#REF!, [0]!all_cols, 0)-1,1,1,1)</definedName>
    <definedName name="OLE_LINK20" localSheetId="3">'C1'!#REF!</definedName>
    <definedName name="OLE_LINK41" localSheetId="3">'C1'!#REF!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119" i="5" l="1"/>
  <c r="AY118" i="5"/>
  <c r="AY117" i="5"/>
  <c r="AY116" i="5"/>
  <c r="AY115" i="5"/>
  <c r="AY114" i="5"/>
  <c r="AY113" i="5"/>
  <c r="AY112" i="5"/>
  <c r="AY111" i="5"/>
  <c r="AY110" i="5"/>
  <c r="AY109" i="5"/>
  <c r="AY108" i="5"/>
  <c r="AY107" i="5"/>
  <c r="AY106" i="5"/>
  <c r="AY105" i="5"/>
  <c r="AY104" i="5"/>
  <c r="AY103" i="5"/>
  <c r="AY102" i="5"/>
  <c r="AY101" i="5"/>
  <c r="AY100" i="5"/>
  <c r="AY99" i="5"/>
  <c r="AY98" i="5"/>
  <c r="AY97" i="5"/>
  <c r="AY96" i="5"/>
  <c r="AY95" i="5"/>
  <c r="AY94" i="5"/>
  <c r="AY93" i="5"/>
  <c r="AY92" i="5"/>
  <c r="AY91" i="5"/>
  <c r="AY90" i="5"/>
  <c r="AY89" i="5"/>
  <c r="AY88" i="5"/>
  <c r="AY87" i="5"/>
  <c r="AY86" i="5"/>
  <c r="AY85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Y6" i="5"/>
  <c r="AY5" i="5"/>
  <c r="N27" i="1"/>
  <c r="O27" i="1"/>
  <c r="AZ10" i="5" l="1"/>
  <c r="AZ11" i="5"/>
  <c r="AZ12" i="5"/>
  <c r="AZ13" i="5"/>
  <c r="AZ14" i="5"/>
  <c r="AZ15" i="5"/>
  <c r="AZ16" i="5"/>
  <c r="AZ17" i="5"/>
  <c r="AZ18" i="5"/>
  <c r="AZ19" i="5"/>
  <c r="AZ20" i="5"/>
  <c r="AZ21" i="5"/>
  <c r="AZ22" i="5"/>
  <c r="AZ23" i="5"/>
  <c r="AZ24" i="5"/>
  <c r="AZ25" i="5"/>
  <c r="AZ26" i="5"/>
  <c r="AZ27" i="5"/>
  <c r="AZ28" i="5"/>
  <c r="AZ29" i="5"/>
  <c r="AZ30" i="5"/>
  <c r="AZ31" i="5"/>
  <c r="AZ32" i="5"/>
  <c r="AZ33" i="5"/>
  <c r="AZ34" i="5"/>
  <c r="AZ35" i="5"/>
  <c r="AZ36" i="5"/>
  <c r="AZ37" i="5"/>
  <c r="AZ38" i="5"/>
  <c r="AZ39" i="5"/>
  <c r="AZ40" i="5"/>
  <c r="AZ41" i="5"/>
  <c r="AZ42" i="5"/>
  <c r="AZ43" i="5"/>
  <c r="AZ44" i="5"/>
  <c r="AZ45" i="5"/>
  <c r="AZ46" i="5"/>
  <c r="AZ47" i="5"/>
  <c r="AZ48" i="5"/>
  <c r="AZ49" i="5"/>
  <c r="AZ50" i="5"/>
  <c r="AZ51" i="5"/>
  <c r="AZ52" i="5"/>
  <c r="AZ53" i="5"/>
  <c r="AZ54" i="5"/>
  <c r="AZ9" i="5"/>
  <c r="AZ8" i="5"/>
  <c r="AZ7" i="5"/>
  <c r="AZ6" i="5"/>
  <c r="AZ5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K23" i="1"/>
  <c r="N11" i="1"/>
  <c r="AV40" i="5"/>
  <c r="AS10" i="5"/>
  <c r="K26" i="1"/>
  <c r="AU70" i="5"/>
  <c r="AV110" i="5"/>
  <c r="AT40" i="5"/>
  <c r="AS110" i="5"/>
  <c r="K29" i="1"/>
  <c r="AV105" i="5"/>
  <c r="O15" i="1"/>
  <c r="L29" i="1"/>
  <c r="AT95" i="5"/>
  <c r="O28" i="1"/>
  <c r="N8" i="1"/>
  <c r="K8" i="1"/>
  <c r="AT60" i="5"/>
  <c r="M10" i="1"/>
  <c r="N22" i="1"/>
  <c r="J26" i="1"/>
  <c r="L15" i="1"/>
  <c r="AX115" i="5"/>
  <c r="J24" i="1"/>
  <c r="J20" i="1"/>
  <c r="M18" i="1"/>
  <c r="AS55" i="5"/>
  <c r="AV115" i="5"/>
  <c r="J14" i="1"/>
  <c r="AV5" i="5"/>
  <c r="J28" i="1"/>
  <c r="K10" i="1"/>
  <c r="AW45" i="5"/>
  <c r="AV75" i="5"/>
  <c r="AX25" i="5"/>
  <c r="AU50" i="5"/>
  <c r="M8" i="1"/>
  <c r="J27" i="1"/>
  <c r="M20" i="1"/>
  <c r="AT15" i="5"/>
  <c r="K17" i="1"/>
  <c r="M15" i="1"/>
  <c r="J11" i="1"/>
  <c r="M26" i="1"/>
  <c r="AS115" i="5"/>
  <c r="AW100" i="5"/>
  <c r="L26" i="1"/>
  <c r="L20" i="1"/>
  <c r="AW20" i="5"/>
  <c r="J25" i="1"/>
  <c r="AX35" i="5"/>
  <c r="AT105" i="5"/>
  <c r="L16" i="1"/>
  <c r="M28" i="1"/>
  <c r="L7" i="1"/>
  <c r="O14" i="1"/>
  <c r="AX20" i="5"/>
  <c r="AT65" i="5"/>
  <c r="AV15" i="5"/>
  <c r="O10" i="1"/>
  <c r="N9" i="1"/>
  <c r="O21" i="1"/>
  <c r="AX50" i="5"/>
  <c r="K13" i="1"/>
  <c r="AS25" i="5"/>
  <c r="O24" i="1"/>
  <c r="AS40" i="5"/>
  <c r="AW60" i="5"/>
  <c r="AS45" i="5"/>
  <c r="AW65" i="5"/>
  <c r="AW25" i="5"/>
  <c r="AW40" i="5"/>
  <c r="AX95" i="5"/>
  <c r="AV95" i="5"/>
  <c r="AX70" i="5"/>
  <c r="AX30" i="5"/>
  <c r="AV50" i="5"/>
  <c r="M23" i="1"/>
  <c r="J29" i="1"/>
  <c r="AW35" i="5"/>
  <c r="AU25" i="5"/>
  <c r="K12" i="1"/>
  <c r="AU110" i="5"/>
  <c r="AW85" i="5"/>
  <c r="N21" i="1"/>
  <c r="M12" i="1"/>
  <c r="L22" i="1"/>
  <c r="M13" i="1"/>
  <c r="O8" i="1"/>
  <c r="L9" i="1"/>
  <c r="M19" i="1"/>
  <c r="O26" i="1"/>
  <c r="AX90" i="5"/>
  <c r="N18" i="1"/>
  <c r="N25" i="1"/>
  <c r="AV70" i="5"/>
  <c r="L13" i="1"/>
  <c r="M9" i="1"/>
  <c r="AS75" i="5"/>
  <c r="AU80" i="5"/>
  <c r="M24" i="1"/>
  <c r="AS70" i="5"/>
  <c r="AU95" i="5"/>
  <c r="K21" i="1"/>
  <c r="AV20" i="5"/>
  <c r="N19" i="1"/>
  <c r="L8" i="1"/>
  <c r="AV90" i="5"/>
  <c r="AU100" i="5"/>
  <c r="AU65" i="5"/>
  <c r="AT30" i="5"/>
  <c r="AT45" i="5"/>
  <c r="M29" i="1"/>
  <c r="AS65" i="5"/>
  <c r="AV80" i="5"/>
  <c r="J21" i="1"/>
  <c r="K24" i="1"/>
  <c r="J12" i="1"/>
  <c r="AT100" i="5"/>
  <c r="L14" i="1"/>
  <c r="AU40" i="5"/>
  <c r="N15" i="1"/>
  <c r="J18" i="1"/>
  <c r="AW90" i="5"/>
  <c r="AX75" i="5"/>
  <c r="O19" i="1"/>
  <c r="O11" i="1"/>
  <c r="AV65" i="5"/>
  <c r="AW70" i="5"/>
  <c r="AU55" i="5"/>
  <c r="L28" i="1"/>
  <c r="N7" i="1"/>
  <c r="AX45" i="5"/>
  <c r="J10" i="1"/>
  <c r="D2" i="25"/>
  <c r="AW115" i="5"/>
  <c r="AW30" i="5"/>
  <c r="AT70" i="5"/>
  <c r="L23" i="1"/>
  <c r="AX85" i="5"/>
  <c r="N16" i="1"/>
  <c r="AS30" i="5"/>
  <c r="O17" i="1"/>
  <c r="M22" i="1"/>
  <c r="AX60" i="5"/>
  <c r="AX105" i="5"/>
  <c r="K14" i="1"/>
  <c r="AX5" i="5"/>
  <c r="AT50" i="5"/>
  <c r="AT10" i="5"/>
  <c r="AW10" i="5"/>
  <c r="AU35" i="5"/>
  <c r="O29" i="1"/>
  <c r="L24" i="1"/>
  <c r="AW5" i="5"/>
  <c r="AV55" i="5"/>
  <c r="K27" i="1"/>
  <c r="AS90" i="5"/>
  <c r="AW75" i="5"/>
  <c r="AX15" i="5"/>
  <c r="AW50" i="5"/>
  <c r="O22" i="1"/>
  <c r="AX55" i="5"/>
  <c r="AU115" i="5"/>
  <c r="M25" i="1"/>
  <c r="J19" i="1"/>
  <c r="K22" i="1"/>
  <c r="M14" i="1"/>
  <c r="AW15" i="5"/>
  <c r="O12" i="1"/>
  <c r="AS95" i="5"/>
  <c r="K20" i="1"/>
  <c r="AS35" i="5"/>
  <c r="AS80" i="5"/>
  <c r="N28" i="1"/>
  <c r="J8" i="1"/>
  <c r="AU85" i="5"/>
  <c r="J15" i="1"/>
  <c r="AT20" i="5"/>
  <c r="O9" i="1"/>
  <c r="AV35" i="5"/>
  <c r="N14" i="1"/>
  <c r="N29" i="1"/>
  <c r="L19" i="1"/>
  <c r="N10" i="1"/>
  <c r="N13" i="1"/>
  <c r="AS15" i="5"/>
  <c r="AX110" i="5"/>
  <c r="L11" i="1"/>
  <c r="N20" i="1"/>
  <c r="J23" i="1"/>
  <c r="AV10" i="5"/>
  <c r="K11" i="1"/>
  <c r="AV45" i="5"/>
  <c r="AS105" i="5"/>
  <c r="K7" i="1"/>
  <c r="L21" i="1"/>
  <c r="AT110" i="5"/>
  <c r="AT90" i="5"/>
  <c r="AU5" i="5"/>
  <c r="M17" i="1"/>
  <c r="AT35" i="5"/>
  <c r="AW95" i="5"/>
  <c r="AU60" i="5"/>
  <c r="O25" i="1"/>
  <c r="M27" i="1"/>
  <c r="M7" i="1"/>
  <c r="M30" i="1" s="1"/>
  <c r="O16" i="1"/>
  <c r="J22" i="1"/>
  <c r="AX10" i="5"/>
  <c r="M21" i="1"/>
  <c r="AT80" i="5"/>
  <c r="L12" i="1"/>
  <c r="J17" i="1"/>
  <c r="N17" i="1"/>
  <c r="L25" i="1"/>
  <c r="O7" i="1"/>
  <c r="AW110" i="5"/>
  <c r="AU10" i="5"/>
  <c r="N23" i="1"/>
  <c r="AW55" i="5"/>
  <c r="M16" i="1"/>
  <c r="AX40" i="5"/>
  <c r="AS5" i="5"/>
  <c r="AU30" i="5"/>
  <c r="L10" i="1"/>
  <c r="AV85" i="5"/>
  <c r="AT5" i="5"/>
  <c r="AT85" i="5"/>
  <c r="AS85" i="5"/>
  <c r="N12" i="1"/>
  <c r="AV60" i="5"/>
  <c r="AU15" i="5"/>
  <c r="AS50" i="5"/>
  <c r="K28" i="1"/>
  <c r="AX80" i="5"/>
  <c r="AX100" i="5"/>
  <c r="L27" i="1"/>
  <c r="AT55" i="5"/>
  <c r="K9" i="1"/>
  <c r="J9" i="1"/>
  <c r="L18" i="1"/>
  <c r="K18" i="1"/>
  <c r="M11" i="1"/>
  <c r="AX65" i="5"/>
  <c r="AW105" i="5"/>
  <c r="O13" i="1"/>
  <c r="J16" i="1"/>
  <c r="AT25" i="5"/>
  <c r="AU75" i="5"/>
  <c r="J7" i="1"/>
  <c r="AU90" i="5"/>
  <c r="AU45" i="5"/>
  <c r="O18" i="1"/>
  <c r="AV30" i="5"/>
  <c r="N26" i="1"/>
  <c r="AS20" i="5"/>
  <c r="AT75" i="5"/>
  <c r="K15" i="1"/>
  <c r="AV25" i="5"/>
  <c r="L17" i="1"/>
  <c r="L31" i="1" s="1"/>
  <c r="K25" i="1"/>
  <c r="AT115" i="5"/>
  <c r="K19" i="1"/>
  <c r="J13" i="1"/>
  <c r="O23" i="1"/>
  <c r="AS100" i="5"/>
  <c r="AV100" i="5"/>
  <c r="AW80" i="5"/>
  <c r="K16" i="1"/>
  <c r="AS60" i="5"/>
  <c r="AU20" i="5"/>
  <c r="AU105" i="5"/>
  <c r="N24" i="1"/>
  <c r="O20" i="1"/>
  <c r="BL119" i="5" l="1"/>
  <c r="BK119" i="5"/>
  <c r="BJ119" i="5"/>
  <c r="BI119" i="5"/>
  <c r="BH119" i="5"/>
  <c r="BG119" i="5"/>
  <c r="BF119" i="5"/>
  <c r="BE119" i="5"/>
  <c r="BD119" i="5"/>
  <c r="BC119" i="5"/>
  <c r="BB119" i="5"/>
  <c r="BA119" i="5"/>
  <c r="AZ119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BL117" i="5"/>
  <c r="BK117" i="5"/>
  <c r="BJ117" i="5"/>
  <c r="BI117" i="5"/>
  <c r="BH117" i="5"/>
  <c r="BG117" i="5"/>
  <c r="BF117" i="5"/>
  <c r="BE117" i="5"/>
  <c r="BD117" i="5"/>
  <c r="BC117" i="5"/>
  <c r="BB117" i="5"/>
  <c r="BA117" i="5"/>
  <c r="AZ117" i="5"/>
  <c r="BL116" i="5"/>
  <c r="BK116" i="5"/>
  <c r="BJ116" i="5"/>
  <c r="BI116" i="5"/>
  <c r="BH116" i="5"/>
  <c r="BG116" i="5"/>
  <c r="BF116" i="5"/>
  <c r="BE116" i="5"/>
  <c r="BD116" i="5"/>
  <c r="BC116" i="5"/>
  <c r="BB116" i="5"/>
  <c r="BA116" i="5"/>
  <c r="AZ116" i="5"/>
  <c r="BL115" i="5"/>
  <c r="BK115" i="5"/>
  <c r="BJ115" i="5"/>
  <c r="BI115" i="5"/>
  <c r="BH115" i="5"/>
  <c r="BG115" i="5"/>
  <c r="BF115" i="5"/>
  <c r="BE115" i="5"/>
  <c r="BD115" i="5"/>
  <c r="BC115" i="5"/>
  <c r="BB115" i="5"/>
  <c r="BA115" i="5"/>
  <c r="AZ115" i="5"/>
  <c r="BL114" i="5"/>
  <c r="BK114" i="5"/>
  <c r="BJ114" i="5"/>
  <c r="BI114" i="5"/>
  <c r="BH114" i="5"/>
  <c r="BG114" i="5"/>
  <c r="BF114" i="5"/>
  <c r="BE114" i="5"/>
  <c r="BD114" i="5"/>
  <c r="BC114" i="5"/>
  <c r="BB114" i="5"/>
  <c r="BA114" i="5"/>
  <c r="AZ114" i="5"/>
  <c r="BL113" i="5"/>
  <c r="BK113" i="5"/>
  <c r="BJ113" i="5"/>
  <c r="BI113" i="5"/>
  <c r="BH113" i="5"/>
  <c r="BG113" i="5"/>
  <c r="BF113" i="5"/>
  <c r="BE113" i="5"/>
  <c r="BD113" i="5"/>
  <c r="BC113" i="5"/>
  <c r="BB113" i="5"/>
  <c r="BA113" i="5"/>
  <c r="AZ113" i="5"/>
  <c r="BL112" i="5"/>
  <c r="BK112" i="5"/>
  <c r="BJ112" i="5"/>
  <c r="BI112" i="5"/>
  <c r="BH112" i="5"/>
  <c r="BG112" i="5"/>
  <c r="BF112" i="5"/>
  <c r="BE112" i="5"/>
  <c r="BD112" i="5"/>
  <c r="BC112" i="5"/>
  <c r="BB112" i="5"/>
  <c r="BA112" i="5"/>
  <c r="AZ112" i="5"/>
  <c r="BL111" i="5"/>
  <c r="BK111" i="5"/>
  <c r="BJ111" i="5"/>
  <c r="BI111" i="5"/>
  <c r="BH111" i="5"/>
  <c r="BG111" i="5"/>
  <c r="BF111" i="5"/>
  <c r="BE111" i="5"/>
  <c r="BD111" i="5"/>
  <c r="BC111" i="5"/>
  <c r="BB111" i="5"/>
  <c r="BA111" i="5"/>
  <c r="AZ111" i="5"/>
  <c r="BL110" i="5"/>
  <c r="BK110" i="5"/>
  <c r="BJ110" i="5"/>
  <c r="BI110" i="5"/>
  <c r="BH110" i="5"/>
  <c r="BG110" i="5"/>
  <c r="BF110" i="5"/>
  <c r="BE110" i="5"/>
  <c r="BD110" i="5"/>
  <c r="BC110" i="5"/>
  <c r="BB110" i="5"/>
  <c r="BA110" i="5"/>
  <c r="AZ110" i="5"/>
  <c r="BL109" i="5"/>
  <c r="BK109" i="5"/>
  <c r="BJ109" i="5"/>
  <c r="BI109" i="5"/>
  <c r="BH109" i="5"/>
  <c r="BG109" i="5"/>
  <c r="BF109" i="5"/>
  <c r="BE109" i="5"/>
  <c r="BD109" i="5"/>
  <c r="BC109" i="5"/>
  <c r="BB109" i="5"/>
  <c r="BA109" i="5"/>
  <c r="AZ109" i="5"/>
  <c r="BL108" i="5"/>
  <c r="BK108" i="5"/>
  <c r="BJ108" i="5"/>
  <c r="BI108" i="5"/>
  <c r="BH108" i="5"/>
  <c r="BG108" i="5"/>
  <c r="BF108" i="5"/>
  <c r="BE108" i="5"/>
  <c r="BD108" i="5"/>
  <c r="BC108" i="5"/>
  <c r="BB108" i="5"/>
  <c r="BA108" i="5"/>
  <c r="AZ108" i="5"/>
  <c r="BL107" i="5"/>
  <c r="BK107" i="5"/>
  <c r="BJ107" i="5"/>
  <c r="BI107" i="5"/>
  <c r="BH107" i="5"/>
  <c r="BG107" i="5"/>
  <c r="BF107" i="5"/>
  <c r="BE107" i="5"/>
  <c r="BD107" i="5"/>
  <c r="BC107" i="5"/>
  <c r="BB107" i="5"/>
  <c r="BA107" i="5"/>
  <c r="AZ107" i="5"/>
  <c r="BL106" i="5"/>
  <c r="BK106" i="5"/>
  <c r="BJ106" i="5"/>
  <c r="BI106" i="5"/>
  <c r="BH106" i="5"/>
  <c r="BG106" i="5"/>
  <c r="BF106" i="5"/>
  <c r="BE106" i="5"/>
  <c r="BD106" i="5"/>
  <c r="BC106" i="5"/>
  <c r="BB106" i="5"/>
  <c r="BA106" i="5"/>
  <c r="AZ106" i="5"/>
  <c r="BL105" i="5"/>
  <c r="BK105" i="5"/>
  <c r="BJ105" i="5"/>
  <c r="BI105" i="5"/>
  <c r="BH105" i="5"/>
  <c r="BG105" i="5"/>
  <c r="BF105" i="5"/>
  <c r="BE105" i="5"/>
  <c r="BD105" i="5"/>
  <c r="BC105" i="5"/>
  <c r="BB105" i="5"/>
  <c r="BA105" i="5"/>
  <c r="AZ105" i="5"/>
  <c r="K31" i="1"/>
  <c r="F19" i="1"/>
  <c r="D25" i="1"/>
  <c r="G23" i="1"/>
  <c r="D22" i="1"/>
  <c r="E11" i="1"/>
  <c r="J30" i="1"/>
  <c r="I22" i="1"/>
  <c r="E8" i="1"/>
  <c r="F29" i="1"/>
  <c r="H29" i="1"/>
  <c r="I17" i="1"/>
  <c r="O32" i="1"/>
  <c r="G12" i="1"/>
  <c r="I26" i="1"/>
  <c r="G18" i="1"/>
  <c r="F16" i="1"/>
  <c r="E12" i="1"/>
  <c r="K32" i="1"/>
  <c r="E29" i="1"/>
  <c r="I9" i="1"/>
  <c r="H14" i="1"/>
  <c r="D26" i="1"/>
  <c r="E20" i="1"/>
  <c r="F12" i="1"/>
  <c r="D16" i="1"/>
  <c r="N31" i="1"/>
  <c r="D18" i="1"/>
  <c r="D7" i="1"/>
  <c r="L30" i="1"/>
  <c r="G20" i="1"/>
  <c r="G19" i="1"/>
  <c r="E21" i="1"/>
  <c r="G21" i="1"/>
  <c r="D28" i="1"/>
  <c r="G15" i="1"/>
  <c r="F11" i="1"/>
  <c r="L32" i="1"/>
  <c r="L33" i="1" s="1"/>
  <c r="E14" i="1"/>
  <c r="H28" i="1"/>
  <c r="H10" i="1"/>
  <c r="D11" i="1"/>
  <c r="G16" i="1"/>
  <c r="N32" i="1"/>
  <c r="I7" i="1"/>
  <c r="I12" i="1"/>
  <c r="N30" i="1"/>
  <c r="F24" i="1"/>
  <c r="H27" i="1"/>
  <c r="G28" i="1"/>
  <c r="D29" i="1"/>
  <c r="H23" i="1"/>
  <c r="H20" i="1"/>
  <c r="D20" i="1"/>
  <c r="G25" i="1"/>
  <c r="I28" i="1"/>
  <c r="G7" i="1"/>
  <c r="I11" i="1"/>
  <c r="I29" i="1"/>
  <c r="J31" i="1"/>
  <c r="F22" i="1"/>
  <c r="G27" i="1"/>
  <c r="D23" i="1"/>
  <c r="H26" i="1"/>
  <c r="G22" i="1"/>
  <c r="H15" i="1"/>
  <c r="D9" i="1"/>
  <c r="H13" i="1"/>
  <c r="H8" i="1"/>
  <c r="D13" i="1"/>
  <c r="G14" i="1"/>
  <c r="F21" i="1"/>
  <c r="E10" i="1"/>
  <c r="M31" i="1"/>
  <c r="I15" i="1"/>
  <c r="E26" i="1"/>
  <c r="I13" i="1"/>
  <c r="I21" i="1"/>
  <c r="I16" i="1"/>
  <c r="M32" i="1"/>
  <c r="H17" i="1"/>
  <c r="I23" i="1"/>
  <c r="I20" i="1"/>
  <c r="I18" i="1"/>
  <c r="F10" i="1"/>
  <c r="I24" i="1"/>
  <c r="E23" i="1"/>
  <c r="E28" i="1"/>
  <c r="F20" i="1"/>
  <c r="F23" i="1"/>
  <c r="F28" i="1"/>
  <c r="G24" i="1"/>
  <c r="F8" i="1"/>
  <c r="F15" i="1"/>
  <c r="H25" i="1"/>
  <c r="H19" i="1"/>
  <c r="I19" i="1"/>
  <c r="F13" i="1"/>
  <c r="D15" i="1"/>
  <c r="F27" i="1"/>
  <c r="D12" i="1"/>
  <c r="K30" i="1"/>
  <c r="K33" i="1" s="1"/>
  <c r="H18" i="1"/>
  <c r="E16" i="1"/>
  <c r="F14" i="1"/>
  <c r="I25" i="1"/>
  <c r="G17" i="1"/>
  <c r="E25" i="1"/>
  <c r="D21" i="1"/>
  <c r="N33" i="1"/>
  <c r="H16" i="1"/>
  <c r="H7" i="1"/>
  <c r="D19" i="1"/>
  <c r="J32" i="1"/>
  <c r="J33" i="1" s="1"/>
  <c r="E15" i="1"/>
  <c r="M33" i="1"/>
  <c r="G10" i="1"/>
  <c r="G9" i="1"/>
  <c r="E13" i="1"/>
  <c r="I8" i="1"/>
  <c r="D8" i="1"/>
  <c r="G13" i="1"/>
  <c r="G8" i="1"/>
  <c r="D27" i="1"/>
  <c r="E24" i="1"/>
  <c r="O30" i="1"/>
  <c r="H21" i="1"/>
  <c r="H12" i="1"/>
  <c r="F26" i="1"/>
  <c r="G26" i="1"/>
  <c r="F7" i="1"/>
  <c r="F9" i="1"/>
  <c r="I14" i="1"/>
  <c r="D14" i="1"/>
  <c r="G11" i="1"/>
  <c r="E17" i="1"/>
  <c r="H24" i="1"/>
  <c r="F18" i="1"/>
  <c r="F17" i="1"/>
  <c r="E7" i="1"/>
  <c r="G29" i="1"/>
  <c r="O31" i="1"/>
  <c r="O33" i="1" s="1"/>
  <c r="H22" i="1"/>
  <c r="E9" i="1"/>
  <c r="H11" i="1"/>
  <c r="I27" i="1"/>
  <c r="D10" i="1"/>
  <c r="I10" i="1"/>
  <c r="E19" i="1"/>
  <c r="D17" i="1"/>
  <c r="H9" i="1"/>
  <c r="E18" i="1"/>
  <c r="E22" i="1"/>
  <c r="F25" i="1"/>
  <c r="D24" i="1"/>
  <c r="E27" i="1"/>
  <c r="AZ59" i="5" l="1"/>
  <c r="BA59" i="5"/>
  <c r="BB59" i="5"/>
  <c r="BC59" i="5"/>
  <c r="BD59" i="5"/>
  <c r="BA5" i="5"/>
  <c r="BB5" i="5"/>
  <c r="BC5" i="5"/>
  <c r="BD5" i="5"/>
  <c r="BE5" i="5"/>
  <c r="BF5" i="5"/>
  <c r="BG5" i="5"/>
  <c r="BH5" i="5"/>
  <c r="BI5" i="5"/>
  <c r="BJ5" i="5"/>
  <c r="BK5" i="5"/>
  <c r="BL5" i="5"/>
  <c r="H31" i="1"/>
  <c r="F30" i="1"/>
  <c r="G30" i="1"/>
  <c r="F31" i="1"/>
  <c r="E32" i="1"/>
  <c r="E31" i="1"/>
  <c r="E30" i="1"/>
  <c r="G31" i="1"/>
  <c r="I31" i="1"/>
  <c r="G32" i="1"/>
  <c r="F32" i="1"/>
  <c r="H30" i="1"/>
  <c r="I30" i="1"/>
  <c r="H32" i="1"/>
  <c r="D31" i="1"/>
  <c r="I32" i="1"/>
  <c r="D32" i="1"/>
  <c r="AZ81" i="5" l="1"/>
  <c r="BA81" i="5"/>
  <c r="BB81" i="5"/>
  <c r="BC81" i="5"/>
  <c r="BD81" i="5"/>
  <c r="BE81" i="5"/>
  <c r="BF81" i="5"/>
  <c r="BG81" i="5"/>
  <c r="BH81" i="5"/>
  <c r="BI81" i="5"/>
  <c r="BJ81" i="5"/>
  <c r="BK81" i="5"/>
  <c r="BL81" i="5"/>
  <c r="I33" i="1"/>
  <c r="F33" i="1"/>
  <c r="G33" i="1"/>
  <c r="H33" i="1"/>
  <c r="E33" i="1"/>
  <c r="BL104" i="5" l="1"/>
  <c r="BK104" i="5"/>
  <c r="BJ104" i="5"/>
  <c r="BI104" i="5"/>
  <c r="BH104" i="5"/>
  <c r="BG104" i="5"/>
  <c r="BF104" i="5"/>
  <c r="BE104" i="5"/>
  <c r="BD104" i="5"/>
  <c r="BC104" i="5"/>
  <c r="BB104" i="5"/>
  <c r="BA104" i="5"/>
  <c r="AZ104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BL101" i="5"/>
  <c r="BK101" i="5"/>
  <c r="BJ101" i="5"/>
  <c r="BI101" i="5"/>
  <c r="BH101" i="5"/>
  <c r="BG101" i="5"/>
  <c r="BF101" i="5"/>
  <c r="BE101" i="5"/>
  <c r="BD101" i="5"/>
  <c r="BC101" i="5"/>
  <c r="BB101" i="5"/>
  <c r="BA101" i="5"/>
  <c r="AZ101" i="5"/>
  <c r="BL100" i="5"/>
  <c r="BK100" i="5"/>
  <c r="BJ100" i="5"/>
  <c r="BI100" i="5"/>
  <c r="BH100" i="5"/>
  <c r="BG100" i="5"/>
  <c r="BF100" i="5"/>
  <c r="BE100" i="5"/>
  <c r="BD100" i="5"/>
  <c r="BC100" i="5"/>
  <c r="BB100" i="5"/>
  <c r="BA100" i="5"/>
  <c r="AZ100" i="5"/>
  <c r="BL99" i="5"/>
  <c r="BK99" i="5"/>
  <c r="BJ99" i="5"/>
  <c r="BI99" i="5"/>
  <c r="BH99" i="5"/>
  <c r="BG99" i="5"/>
  <c r="BF99" i="5"/>
  <c r="BE99" i="5"/>
  <c r="BD99" i="5"/>
  <c r="BC99" i="5"/>
  <c r="BB99" i="5"/>
  <c r="BA99" i="5"/>
  <c r="AZ99" i="5"/>
  <c r="BL98" i="5"/>
  <c r="BK98" i="5"/>
  <c r="BJ98" i="5"/>
  <c r="BI98" i="5"/>
  <c r="BH98" i="5"/>
  <c r="BG98" i="5"/>
  <c r="BF98" i="5"/>
  <c r="BE98" i="5"/>
  <c r="BD98" i="5"/>
  <c r="BC98" i="5"/>
  <c r="BB98" i="5"/>
  <c r="BA98" i="5"/>
  <c r="AZ98" i="5"/>
  <c r="BL97" i="5"/>
  <c r="BK97" i="5"/>
  <c r="BJ97" i="5"/>
  <c r="BI97" i="5"/>
  <c r="BH97" i="5"/>
  <c r="BG97" i="5"/>
  <c r="BF97" i="5"/>
  <c r="BE97" i="5"/>
  <c r="BD97" i="5"/>
  <c r="BC97" i="5"/>
  <c r="BB97" i="5"/>
  <c r="BA97" i="5"/>
  <c r="AZ97" i="5"/>
  <c r="BL96" i="5"/>
  <c r="BK96" i="5"/>
  <c r="BJ96" i="5"/>
  <c r="BI96" i="5"/>
  <c r="BH96" i="5"/>
  <c r="BG96" i="5"/>
  <c r="BF96" i="5"/>
  <c r="BE96" i="5"/>
  <c r="BD96" i="5"/>
  <c r="BC96" i="5"/>
  <c r="BB96" i="5"/>
  <c r="BA96" i="5"/>
  <c r="AZ96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BL94" i="5"/>
  <c r="BK94" i="5"/>
  <c r="BJ94" i="5"/>
  <c r="BI94" i="5"/>
  <c r="BH94" i="5"/>
  <c r="BG94" i="5"/>
  <c r="BF94" i="5"/>
  <c r="BE94" i="5"/>
  <c r="BD94" i="5"/>
  <c r="BC94" i="5"/>
  <c r="BB94" i="5"/>
  <c r="BA94" i="5"/>
  <c r="AZ94" i="5"/>
  <c r="BL93" i="5"/>
  <c r="BK93" i="5"/>
  <c r="BJ93" i="5"/>
  <c r="BI93" i="5"/>
  <c r="BH93" i="5"/>
  <c r="BG93" i="5"/>
  <c r="BF93" i="5"/>
  <c r="BE93" i="5"/>
  <c r="BD93" i="5"/>
  <c r="BC93" i="5"/>
  <c r="BB93" i="5"/>
  <c r="BA93" i="5"/>
  <c r="AZ93" i="5"/>
  <c r="BL92" i="5"/>
  <c r="BK92" i="5"/>
  <c r="BJ92" i="5"/>
  <c r="BI92" i="5"/>
  <c r="BH92" i="5"/>
  <c r="BG92" i="5"/>
  <c r="BF92" i="5"/>
  <c r="BE92" i="5"/>
  <c r="BD92" i="5"/>
  <c r="BC92" i="5"/>
  <c r="BB92" i="5"/>
  <c r="BA92" i="5"/>
  <c r="AZ92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BL90" i="5"/>
  <c r="BK90" i="5"/>
  <c r="BJ90" i="5"/>
  <c r="BI90" i="5"/>
  <c r="BH90" i="5"/>
  <c r="BG90" i="5"/>
  <c r="BF90" i="5"/>
  <c r="BE90" i="5"/>
  <c r="BD90" i="5"/>
  <c r="BC90" i="5"/>
  <c r="BB90" i="5"/>
  <c r="BA90" i="5"/>
  <c r="AZ90" i="5"/>
  <c r="BL89" i="5"/>
  <c r="BK89" i="5"/>
  <c r="BJ89" i="5"/>
  <c r="BI89" i="5"/>
  <c r="BH89" i="5"/>
  <c r="BG89" i="5"/>
  <c r="BF89" i="5"/>
  <c r="BE89" i="5"/>
  <c r="BD89" i="5"/>
  <c r="BC89" i="5"/>
  <c r="BB89" i="5"/>
  <c r="BA89" i="5"/>
  <c r="AZ89" i="5"/>
  <c r="BL88" i="5"/>
  <c r="BK88" i="5"/>
  <c r="BJ88" i="5"/>
  <c r="BI88" i="5"/>
  <c r="BH88" i="5"/>
  <c r="BG88" i="5"/>
  <c r="BF88" i="5"/>
  <c r="BE88" i="5"/>
  <c r="BD88" i="5"/>
  <c r="BC88" i="5"/>
  <c r="BB88" i="5"/>
  <c r="BA88" i="5"/>
  <c r="AZ88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BL86" i="5"/>
  <c r="BK86" i="5"/>
  <c r="BJ86" i="5"/>
  <c r="BI86" i="5"/>
  <c r="BH86" i="5"/>
  <c r="BG86" i="5"/>
  <c r="BF86" i="5"/>
  <c r="BE86" i="5"/>
  <c r="BD86" i="5"/>
  <c r="BC86" i="5"/>
  <c r="BB86" i="5"/>
  <c r="BA86" i="5"/>
  <c r="AZ86" i="5"/>
  <c r="BL85" i="5"/>
  <c r="BK85" i="5"/>
  <c r="BJ85" i="5"/>
  <c r="BI85" i="5"/>
  <c r="BH85" i="5"/>
  <c r="BG85" i="5"/>
  <c r="BF85" i="5"/>
  <c r="BE85" i="5"/>
  <c r="BD85" i="5"/>
  <c r="BC85" i="5"/>
  <c r="BB85" i="5"/>
  <c r="BA85" i="5"/>
  <c r="AZ85" i="5"/>
  <c r="BL84" i="5"/>
  <c r="BK84" i="5"/>
  <c r="BJ84" i="5"/>
  <c r="BI84" i="5"/>
  <c r="BH84" i="5"/>
  <c r="BG84" i="5"/>
  <c r="BF84" i="5"/>
  <c r="BE84" i="5"/>
  <c r="BD84" i="5"/>
  <c r="BC84" i="5"/>
  <c r="BB84" i="5"/>
  <c r="BA84" i="5"/>
  <c r="AZ84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BL82" i="5"/>
  <c r="BK82" i="5"/>
  <c r="BJ82" i="5"/>
  <c r="BI82" i="5"/>
  <c r="BH82" i="5"/>
  <c r="BG82" i="5"/>
  <c r="BF82" i="5"/>
  <c r="BE82" i="5"/>
  <c r="BD82" i="5"/>
  <c r="BC82" i="5"/>
  <c r="BB82" i="5"/>
  <c r="BA82" i="5"/>
  <c r="AZ82" i="5"/>
  <c r="BL80" i="5"/>
  <c r="BK80" i="5"/>
  <c r="BJ80" i="5"/>
  <c r="BI80" i="5"/>
  <c r="BH80" i="5"/>
  <c r="BG80" i="5"/>
  <c r="BF80" i="5"/>
  <c r="BE80" i="5"/>
  <c r="BD80" i="5"/>
  <c r="BC80" i="5"/>
  <c r="BB80" i="5"/>
  <c r="BA80" i="5"/>
  <c r="AZ80" i="5"/>
  <c r="BL79" i="5"/>
  <c r="BK79" i="5"/>
  <c r="BJ79" i="5"/>
  <c r="BI79" i="5"/>
  <c r="BH79" i="5"/>
  <c r="BG79" i="5"/>
  <c r="BF79" i="5"/>
  <c r="BE79" i="5"/>
  <c r="BD79" i="5"/>
  <c r="BC79" i="5"/>
  <c r="BB79" i="5"/>
  <c r="BA79" i="5"/>
  <c r="AZ79" i="5"/>
  <c r="BL78" i="5"/>
  <c r="BK78" i="5"/>
  <c r="BJ78" i="5"/>
  <c r="BI78" i="5"/>
  <c r="BH78" i="5"/>
  <c r="BG78" i="5"/>
  <c r="BF78" i="5"/>
  <c r="BE78" i="5"/>
  <c r="BD78" i="5"/>
  <c r="BC78" i="5"/>
  <c r="BB78" i="5"/>
  <c r="BA78" i="5"/>
  <c r="AZ78" i="5"/>
  <c r="BL77" i="5"/>
  <c r="BK77" i="5"/>
  <c r="BJ77" i="5"/>
  <c r="BI77" i="5"/>
  <c r="BH77" i="5"/>
  <c r="BG77" i="5"/>
  <c r="BF77" i="5"/>
  <c r="BE77" i="5"/>
  <c r="BD77" i="5"/>
  <c r="BC77" i="5"/>
  <c r="BB77" i="5"/>
  <c r="BA77" i="5"/>
  <c r="AZ77" i="5"/>
  <c r="BL76" i="5"/>
  <c r="BK76" i="5"/>
  <c r="BJ76" i="5"/>
  <c r="BI76" i="5"/>
  <c r="BH76" i="5"/>
  <c r="BG76" i="5"/>
  <c r="BF76" i="5"/>
  <c r="BE76" i="5"/>
  <c r="BD76" i="5"/>
  <c r="BC76" i="5"/>
  <c r="BB76" i="5"/>
  <c r="BA76" i="5"/>
  <c r="AZ76" i="5"/>
  <c r="BL75" i="5"/>
  <c r="BK75" i="5"/>
  <c r="BJ75" i="5"/>
  <c r="BI75" i="5"/>
  <c r="BH75" i="5"/>
  <c r="BG75" i="5"/>
  <c r="BF75" i="5"/>
  <c r="BE75" i="5"/>
  <c r="BD75" i="5"/>
  <c r="BC75" i="5"/>
  <c r="BB75" i="5"/>
  <c r="BA75" i="5"/>
  <c r="AZ75" i="5"/>
  <c r="BL74" i="5"/>
  <c r="BK74" i="5"/>
  <c r="BJ74" i="5"/>
  <c r="BI74" i="5"/>
  <c r="BH74" i="5"/>
  <c r="BG74" i="5"/>
  <c r="BF74" i="5"/>
  <c r="BE74" i="5"/>
  <c r="BD74" i="5"/>
  <c r="BC74" i="5"/>
  <c r="BB74" i="5"/>
  <c r="BA74" i="5"/>
  <c r="AZ74" i="5"/>
  <c r="BL73" i="5"/>
  <c r="BK73" i="5"/>
  <c r="BJ73" i="5"/>
  <c r="BI73" i="5"/>
  <c r="BH73" i="5"/>
  <c r="BG73" i="5"/>
  <c r="BF73" i="5"/>
  <c r="BE73" i="5"/>
  <c r="BD73" i="5"/>
  <c r="BC73" i="5"/>
  <c r="BB73" i="5"/>
  <c r="BA73" i="5"/>
  <c r="AZ73" i="5"/>
  <c r="BL72" i="5"/>
  <c r="BK72" i="5"/>
  <c r="BJ72" i="5"/>
  <c r="BI72" i="5"/>
  <c r="BH72" i="5"/>
  <c r="BG72" i="5"/>
  <c r="BF72" i="5"/>
  <c r="BE72" i="5"/>
  <c r="BD72" i="5"/>
  <c r="BC72" i="5"/>
  <c r="BB72" i="5"/>
  <c r="BA72" i="5"/>
  <c r="AZ72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BL59" i="5"/>
  <c r="BK59" i="5"/>
  <c r="BJ59" i="5"/>
  <c r="BI59" i="5"/>
  <c r="BH59" i="5"/>
  <c r="BG59" i="5"/>
  <c r="BF59" i="5"/>
  <c r="BE59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H6" i="25"/>
  <c r="N8" i="25"/>
  <c r="L8" i="25"/>
  <c r="Q8" i="25"/>
  <c r="H5" i="25"/>
  <c r="L5" i="25"/>
  <c r="N7" i="25"/>
  <c r="J8" i="25"/>
  <c r="I8" i="25"/>
  <c r="N6" i="25"/>
  <c r="M7" i="25"/>
  <c r="M8" i="25"/>
  <c r="O7" i="25"/>
  <c r="O6" i="25"/>
  <c r="P6" i="25"/>
  <c r="K4" i="25"/>
  <c r="J4" i="25"/>
  <c r="J6" i="25"/>
  <c r="P8" i="25"/>
  <c r="K7" i="25"/>
  <c r="I7" i="25"/>
  <c r="Q4" i="25"/>
  <c r="O8" i="25"/>
  <c r="J5" i="25"/>
  <c r="L7" i="25"/>
  <c r="H4" i="25"/>
  <c r="M4" i="25"/>
  <c r="Q5" i="25"/>
  <c r="O4" i="25"/>
  <c r="N5" i="25"/>
  <c r="K5" i="25"/>
  <c r="O5" i="25"/>
  <c r="Q6" i="25"/>
  <c r="L4" i="25"/>
  <c r="J7" i="25"/>
  <c r="P4" i="25"/>
  <c r="U4" i="25" s="1"/>
  <c r="K8" i="25"/>
  <c r="P7" i="25"/>
  <c r="I6" i="25"/>
  <c r="M6" i="25"/>
  <c r="K6" i="25"/>
  <c r="Q7" i="25"/>
  <c r="M5" i="25"/>
  <c r="I5" i="25"/>
  <c r="S5" i="25" s="1"/>
  <c r="I4" i="25"/>
  <c r="N4" i="25"/>
  <c r="H7" i="25"/>
  <c r="L6" i="25"/>
  <c r="H8" i="25"/>
  <c r="W4" i="25" s="1"/>
  <c r="P5" i="25"/>
  <c r="X4" i="25" s="1"/>
  <c r="AB4" i="25"/>
  <c r="Z4" i="25"/>
  <c r="AA4" i="25"/>
  <c r="BA10" i="5" l="1"/>
  <c r="BB10" i="5"/>
  <c r="BC10" i="5"/>
  <c r="BD10" i="5"/>
  <c r="BE10" i="5"/>
  <c r="BF10" i="5"/>
  <c r="BG10" i="5"/>
  <c r="BH10" i="5"/>
  <c r="BI10" i="5"/>
  <c r="BJ10" i="5"/>
  <c r="BK10" i="5"/>
  <c r="BL10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A6" i="5"/>
  <c r="BB6" i="5"/>
  <c r="BC6" i="5"/>
  <c r="BD6" i="5"/>
  <c r="BE6" i="5"/>
  <c r="BF6" i="5"/>
  <c r="BG6" i="5"/>
  <c r="BH6" i="5"/>
  <c r="BI6" i="5"/>
  <c r="BJ6" i="5"/>
  <c r="BK6" i="5"/>
  <c r="BL6" i="5"/>
  <c r="BA7" i="5"/>
  <c r="BB7" i="5"/>
  <c r="BC7" i="5"/>
  <c r="BD7" i="5"/>
  <c r="BE7" i="5"/>
  <c r="BF7" i="5"/>
  <c r="BG7" i="5"/>
  <c r="BH7" i="5"/>
  <c r="BI7" i="5"/>
  <c r="BJ7" i="5"/>
  <c r="BK7" i="5"/>
  <c r="BL7" i="5"/>
  <c r="BA8" i="5"/>
  <c r="BB8" i="5"/>
  <c r="BC8" i="5"/>
  <c r="BD8" i="5"/>
  <c r="BE8" i="5"/>
  <c r="BF8" i="5"/>
  <c r="BG8" i="5"/>
  <c r="BH8" i="5"/>
  <c r="BI8" i="5"/>
  <c r="BJ8" i="5"/>
  <c r="BK8" i="5"/>
  <c r="BL8" i="5"/>
  <c r="BA9" i="5"/>
  <c r="BB9" i="5"/>
  <c r="BC9" i="5"/>
  <c r="BD9" i="5"/>
  <c r="BE9" i="5"/>
  <c r="BF9" i="5"/>
  <c r="BG9" i="5"/>
  <c r="BH9" i="5"/>
  <c r="BI9" i="5"/>
  <c r="BJ9" i="5"/>
  <c r="BK9" i="5"/>
  <c r="BL9" i="5"/>
  <c r="S4" i="25"/>
  <c r="Y4" i="25"/>
  <c r="T6" i="25"/>
  <c r="S8" i="25"/>
  <c r="T5" i="25"/>
  <c r="T7" i="25"/>
  <c r="V8" i="25"/>
  <c r="V7" i="25"/>
  <c r="R8" i="25"/>
  <c r="S7" i="25"/>
  <c r="V4" i="25"/>
  <c r="T8" i="25"/>
  <c r="R5" i="25"/>
  <c r="U8" i="25"/>
  <c r="V5" i="25"/>
  <c r="R7" i="25"/>
  <c r="U5" i="25"/>
  <c r="U6" i="25"/>
  <c r="R4" i="25"/>
  <c r="V6" i="25"/>
  <c r="U7" i="25"/>
  <c r="S6" i="25"/>
  <c r="R6" i="25"/>
  <c r="T4" i="25"/>
  <c r="M1" i="25" l="1"/>
  <c r="F4" i="25"/>
  <c r="H1" i="25"/>
  <c r="D30" i="1"/>
  <c r="D33" i="1"/>
</calcChain>
</file>

<file path=xl/sharedStrings.xml><?xml version="1.0" encoding="utf-8"?>
<sst xmlns="http://schemas.openxmlformats.org/spreadsheetml/2006/main" count="1727" uniqueCount="1357">
  <si>
    <t>dec.cb-psnr</t>
  </si>
  <si>
    <t>dec.cr-psnr</t>
  </si>
  <si>
    <t>dec.enc.match</t>
  </si>
  <si>
    <t>dec.ext.maxrssk</t>
  </si>
  <si>
    <t>dec.numpoints</t>
  </si>
  <si>
    <t>dec.reflectance-hpsnr</t>
  </si>
  <si>
    <t>dec.reflectance-psnr</t>
  </si>
  <si>
    <t>dec.utime</t>
  </si>
  <si>
    <t>dec.y-hpsnr</t>
  </si>
  <si>
    <t>dec.y-psnr</t>
  </si>
  <si>
    <t>enc.bits.colour</t>
  </si>
  <si>
    <t>enc.bits.geometry</t>
  </si>
  <si>
    <t>enc.bits.reflectance</t>
  </si>
  <si>
    <t>enc.ext.bits</t>
  </si>
  <si>
    <t>enc.ext.maxrssk</t>
  </si>
  <si>
    <t>enc.utime</t>
  </si>
  <si>
    <t>eqn.bitrate</t>
  </si>
  <si>
    <t>eqn.bpop</t>
  </si>
  <si>
    <t>eqn.bpp</t>
  </si>
  <si>
    <t>eqn.bpp.colour</t>
  </si>
  <si>
    <t>eqn.bpp.geometry</t>
  </si>
  <si>
    <t>eqn.bpp.reflectance</t>
  </si>
  <si>
    <t>Sequence</t>
  </si>
  <si>
    <t>sequence</t>
  </si>
  <si>
    <t>variant</t>
  </si>
  <si>
    <t>Total</t>
  </si>
  <si>
    <t>Geometry</t>
  </si>
  <si>
    <t>A.dec.numpoints</t>
  </si>
  <si>
    <t>A.enc.ext.bits</t>
  </si>
  <si>
    <t>A.enc.bits.geometry</t>
  </si>
  <si>
    <t>A.enc.bits.reflectance</t>
  </si>
  <si>
    <t>A.dec.y-psnr</t>
  </si>
  <si>
    <t>A.dec.cb-psnr</t>
  </si>
  <si>
    <t>A.dec.cr-psnr</t>
  </si>
  <si>
    <t>A.enc.utime</t>
  </si>
  <si>
    <t>A.dec.utime</t>
  </si>
  <si>
    <t>B.dec.numpoints</t>
  </si>
  <si>
    <t>B.dec.y-psnr</t>
  </si>
  <si>
    <t>B.dec.cb-psnr</t>
  </si>
  <si>
    <t>B.dec.cr-psnr</t>
  </si>
  <si>
    <t>B.enc.utime</t>
  </si>
  <si>
    <t>B.dec.utime</t>
  </si>
  <si>
    <t>eqn.ab.bdrate-y</t>
  </si>
  <si>
    <t>eqn.ab.bdrate-cb</t>
  </si>
  <si>
    <t>eqn.ab.bdrate-cr</t>
  </si>
  <si>
    <t>r01</t>
  </si>
  <si>
    <t>r02</t>
  </si>
  <si>
    <t>r03</t>
  </si>
  <si>
    <t>r04</t>
  </si>
  <si>
    <t>r05</t>
  </si>
  <si>
    <t>col.AVSC2 losslG,lossyA,intra.variant</t>
  </si>
  <si>
    <t>col.AVSC2 losslG,lossyA,intra.src.numpoints</t>
  </si>
  <si>
    <t>col.AVSC2 losslG,lossyA,intra.src.geometry-precision</t>
  </si>
  <si>
    <t>col.AVSC2 losslG,lossyA,intra.src.framecount</t>
  </si>
  <si>
    <t>col.AVSC2 losslG,lossyA,intra.src.framerate</t>
  </si>
  <si>
    <t>col.AVSC2 losslG,lossyA,intra.A.eqn.bitrate</t>
  </si>
  <si>
    <t>col.AVSC2 losslG,lossyA,intra.A.eqn.bpp</t>
  </si>
  <si>
    <t>col.AVSC2 losslG,lossyA,intra.A.eqn.bpp.geometry</t>
  </si>
  <si>
    <t>col.AVSC2 losslG,lossyA,intra.A.eqn.bpp.colour</t>
  </si>
  <si>
    <t>col.AVSC2 losslG,lossyA,intra.A.eqn.bpop</t>
  </si>
  <si>
    <t>col.AVSC2 losslG,lossyA,intra.A.dec.numpoints</t>
  </si>
  <si>
    <t>col.AVSC2 losslG,lossyA,intra.A.enc.ext.bits</t>
  </si>
  <si>
    <t>col.AVSC2 losslG,lossyA,intra.A.enc.bits.geometry</t>
  </si>
  <si>
    <t>col.AVSC2 losslG,lossyA,intra.A.enc.bits.colour</t>
  </si>
  <si>
    <t>col.AVSC2 losslG,lossyA,intra.A.enc.bits.reflectance</t>
  </si>
  <si>
    <t>col.AVSC2 losslG,lossyA,intra.A.dec.y-psnr</t>
  </si>
  <si>
    <t>col.AVSC2 losslG,lossyA,intra.A.dec.cb-psnr</t>
  </si>
  <si>
    <t>col.AVSC2 losslG,lossyA,intra.A.dec.cr-psnr</t>
  </si>
  <si>
    <t>col.AVSC2 losslG,lossyA,intra.A.dec.reflectance-psnr</t>
  </si>
  <si>
    <t>col.AVSC2 losslG,lossyA,intra.A.enc.utime</t>
  </si>
  <si>
    <t>col.AVSC2 losslG,lossyA,intra.A.dec.utime</t>
  </si>
  <si>
    <t>col.AVSC2 losslG,lossyA,intra.A.enc.ext.maxrssk</t>
  </si>
  <si>
    <t>col.AVSC2 losslG,lossyA,intra.A.dec.ext.maxrssk</t>
  </si>
  <si>
    <t>col.AVSC2 losslG,lossyA,intra.A.dec.enc.match</t>
  </si>
  <si>
    <t>col.AVSC2 losslG,lossyA,intra.B.eqn.bitrate</t>
  </si>
  <si>
    <t>col.AVSC2 losslG,lossyA,intra.B.eqn.bpp</t>
  </si>
  <si>
    <t>col.AVSC2 losslG,lossyA,intra.B.eqn.bpp.geometry</t>
  </si>
  <si>
    <t>col.AVSC2 losslG,lossyA,intra.B.eqn.bpp.colour</t>
  </si>
  <si>
    <t>col.AVSC2 losslG,lossyA,intra.B.eqn.bpp.reflectance</t>
  </si>
  <si>
    <t>col.AVSC2 losslG,lossyA,intra.B.eqn.bpop</t>
  </si>
  <si>
    <t>col.AVSC2 losslG,lossyA,intra.B.dec.numpoints</t>
  </si>
  <si>
    <t>col.AVSC2 losslG,lossyA,intra.B.enc.ext.bits</t>
  </si>
  <si>
    <t>col.AVSC2 losslG,lossyA,intra.B.enc.bits.geometry</t>
  </si>
  <si>
    <t>col.AVSC2 losslG,lossyA,intra.B.enc.bits.colour</t>
  </si>
  <si>
    <t>col.AVSC2 losslG,lossyA,intra.B.enc.bits.reflectance</t>
  </si>
  <si>
    <t>col.AVSC2 losslG,lossyA,intra.B.dec.y-psnr</t>
  </si>
  <si>
    <t>col.AVSC2 losslG,lossyA,intra.B.dec.cb-psnr</t>
  </si>
  <si>
    <t>col.AVSC2 losslG,lossyA,intra.B.dec.cr-psnr</t>
  </si>
  <si>
    <t>col.AVSC2 losslG,lossyA,intra.B.dec.reflectance-psnr</t>
  </si>
  <si>
    <t>col.AVSC2 losslG,lossyA,intra.B.enc.utime</t>
  </si>
  <si>
    <t>col.AVSC2 losslG,lossyA,intra.B.dec.utime</t>
  </si>
  <si>
    <t>col.AVSC2 losslG,lossyA,intra.B.enc.ext.maxrssk</t>
  </si>
  <si>
    <t>col.AVSC2 losslG,lossyA,intra.B.dec.ext.maxrssk</t>
  </si>
  <si>
    <t>col.AVSC2 losslG,lossyA,intra.B.dec.enc.match</t>
  </si>
  <si>
    <t>name.A.AVSC2 losslG,lossyA,intra</t>
  </si>
  <si>
    <t>name.B.AVSC2 losslG,lossyA,intra</t>
  </si>
  <si>
    <t>cols.AVSC2 losslG,lossyA,intra</t>
  </si>
  <si>
    <t>col.AVSC2 losslG,lossyA,intra.class</t>
  </si>
  <si>
    <t>col.AVSC2 losslG,lossyA,intra.sequence</t>
  </si>
  <si>
    <t>col.AVSC4 losslG,losslA,intra.class</t>
  </si>
  <si>
    <t>col.AVSC4 losslG,losslA,intra.sequence</t>
  </si>
  <si>
    <t>col.AVSC4 losslG,losslA,intra.src.numpoints</t>
  </si>
  <si>
    <t>col.AVSC4 losslG,losslA,intra.src.geometry-precision</t>
  </si>
  <si>
    <t>col.AVSC4 losslG,losslA,intra.src.framecount</t>
  </si>
  <si>
    <t>col.AVSC4 losslG,losslA,intra.src.framerate</t>
  </si>
  <si>
    <t>col.AVSC4 losslG,losslA,intra.A.eqn.bitrate</t>
  </si>
  <si>
    <t>col.AVSC4 losslG,losslA,intra.A.eqn.bpp</t>
  </si>
  <si>
    <t>col.AVSC4 losslG,losslA,intra.A.eqn.bpp.geometry</t>
  </si>
  <si>
    <t>col.AVSC4 losslG,losslA,intra.A.eqn.bpp.colour</t>
  </si>
  <si>
    <t>col.AVSC4 losslG,losslA,intra.A.eqn.bpp.reflectance</t>
  </si>
  <si>
    <t>col.AVSC4 losslG,losslA,intra.A.eqn.bpop</t>
  </si>
  <si>
    <t>col.AVSC4 losslG,losslA,intra.A.dec.numpoints</t>
  </si>
  <si>
    <t>col.AVSC4 losslG,losslA,intra.A.enc.ext.bits</t>
  </si>
  <si>
    <t>col.AVSC4 losslG,losslA,intra.A.enc.bits.geometry</t>
  </si>
  <si>
    <t>col.AVSC4 losslG,losslA,intra.A.enc.bits.colour</t>
  </si>
  <si>
    <t>col.AVSC4 losslG,losslA,intra.A.enc.bits.reflectance</t>
  </si>
  <si>
    <t>col.AVSC4 losslG,losslA,intra.A.enc.utime</t>
  </si>
  <si>
    <t>col.AVSC4 losslG,losslA,intra.A.dec.utime</t>
  </si>
  <si>
    <t>col.AVSC4 losslG,losslA,intra.A.enc.ext.maxrssk</t>
  </si>
  <si>
    <t>col.AVSC4 losslG,losslA,intra.A.dec.ext.maxrssk</t>
  </si>
  <si>
    <t>col.AVSC4 losslG,losslA,intra.A.dec.enc.match</t>
  </si>
  <si>
    <t>col.AVSC4 losslG,losslA,intra.B.eqn.bitrate</t>
  </si>
  <si>
    <t>col.AVSC4 losslG,losslA,intra.B.eqn.bpp</t>
  </si>
  <si>
    <t>col.AVSC4 losslG,losslA,intra.B.eqn.bpp.geometry</t>
  </si>
  <si>
    <t>col.AVSC4 losslG,losslA,intra.B.eqn.bpp.colour</t>
  </si>
  <si>
    <t>col.AVSC4 losslG,losslA,intra.B.eqn.bpp.reflectance</t>
  </si>
  <si>
    <t>col.AVSC4 losslG,losslA,intra.B.eqn.bpop</t>
  </si>
  <si>
    <t>col.AVSC4 losslG,losslA,intra.B.dec.numpoints</t>
  </si>
  <si>
    <t>col.AVSC4 losslG,losslA,intra.B.enc.ext.bits</t>
  </si>
  <si>
    <t>col.AVSC4 losslG,losslA,intra.B.enc.bits.geometry</t>
  </si>
  <si>
    <t>col.AVSC4 losslG,losslA,intra.B.enc.bits.colour</t>
  </si>
  <si>
    <t>col.AVSC4 losslG,losslA,intra.B.enc.bits.reflectance</t>
  </si>
  <si>
    <t>col.AVSC4 losslG,losslA,intra.B.enc.utime</t>
  </si>
  <si>
    <t>col.AVSC4 losslG,losslA,intra.B.dec.utime</t>
  </si>
  <si>
    <t>col.AVSC4 losslG,losslA,intra.B.enc.ext.maxrssk</t>
  </si>
  <si>
    <t>col.AVSC4 losslG,losslA,intra.B.dec.ext.maxrssk</t>
  </si>
  <si>
    <t>col.AVSC4 losslG,losslA,intra.B.dec.enc.match</t>
  </si>
  <si>
    <t>col.AVSC4 losslG,losslA,intra.eqn.ab.ratio-bpp</t>
  </si>
  <si>
    <t>col.AVSC4 losslG,losslA,intra.eqn.ab.ratio-bpp-geometry</t>
  </si>
  <si>
    <t>col.AVSC4 losslG,losslA,intra.eqn.ab.ratio-bpp-colour</t>
  </si>
  <si>
    <t>col.AVSC4 losslG,losslA,intra.eqn.ab.ratio-bpp-reflectance</t>
  </si>
  <si>
    <t>col.AVSC4 losslG,losslA,intra.eqn.ab.ratio-enc-maxrssk</t>
  </si>
  <si>
    <t>col.AVSC4 losslG,losslA,intra.eqn.ab.ratio-dec-maxrssk</t>
  </si>
  <si>
    <t>name.A.AVSC4 losslG,losslA,intra</t>
  </si>
  <si>
    <t>name.B.AVSC4 losslG,losslA,intra</t>
  </si>
  <si>
    <t>cols.AVSC4 losslG,losslA,intra</t>
  </si>
  <si>
    <t>col.AVSC1 limit-lossyG,lossyA,intra.class</t>
  </si>
  <si>
    <t>col.AVSC1 limit-lossyG,lossyA,intra.sequence</t>
  </si>
  <si>
    <t>col.AVSC1 limit-lossyG,lossyA,intra.variant</t>
  </si>
  <si>
    <t>col.AVSC1 limit-lossyG,lossyA,intra.src.framecount</t>
  </si>
  <si>
    <t>col.AVSC1 limit-lossyG,lossyA,intra.src.framerate</t>
  </si>
  <si>
    <t>col.AVSC1 limit-lossyG,lossyA,intra.A.eqn.bitrate</t>
  </si>
  <si>
    <t>col.AVSC1 limit-lossyG,lossyA,intra.A.eqn.bpp</t>
  </si>
  <si>
    <t>col.AVSC1 limit-lossyG,lossyA,intra.A.eqn.bpp.geometry</t>
  </si>
  <si>
    <t>col.AVSC1 limit-lossyG,lossyA,intra.A.eqn.bpp.colour</t>
  </si>
  <si>
    <t>col.AVSC1 limit-lossyG,lossyA,intra.A.eqn.bpop</t>
  </si>
  <si>
    <t>col.AVSC1 limit-lossyG,lossyA,intra.A.dec.numpoints</t>
  </si>
  <si>
    <t>col.AVSC1 limit-lossyG,lossyA,intra.A.enc.ext.bits</t>
  </si>
  <si>
    <t>col.AVSC1 limit-lossyG,lossyA,intra.A.enc.bits.geometry</t>
  </si>
  <si>
    <t>col.AVSC1 limit-lossyG,lossyA,intra.A.enc.bits.colour</t>
  </si>
  <si>
    <t>col.AVSC1 limit-lossyG,lossyA,intra.A.enc.bits.reflectance</t>
  </si>
  <si>
    <t>col.AVSC1 limit-lossyG,lossyA,intra.A.dec.y-psnr</t>
  </si>
  <si>
    <t>col.AVSC1 limit-lossyG,lossyA,intra.A.dec.cb-psnr</t>
  </si>
  <si>
    <t>col.AVSC1 limit-lossyG,lossyA,intra.A.dec.cr-psnr</t>
  </si>
  <si>
    <t>col.AVSC1 limit-lossyG,lossyA,intra.A.dec.reflectance-psnr</t>
  </si>
  <si>
    <t>col.AVSC1 limit-lossyG,lossyA,intra.A.enc.utime</t>
  </si>
  <si>
    <t>col.AVSC1 limit-lossyG,lossyA,intra.A.dec.utime</t>
  </si>
  <si>
    <t>col.AVSC1 limit-lossyG,lossyA,intra.A.enc.ext.maxrssk</t>
  </si>
  <si>
    <t>col.AVSC1 limit-lossyG,lossyA,intra.B.eqn.bitrate</t>
  </si>
  <si>
    <t>col.AVSC1 limit-lossyG,lossyA,intra.B.eqn.bpp</t>
  </si>
  <si>
    <t>col.AVSC1 limit-lossyG,lossyA,intra.B.eqn.bpp.geometry</t>
  </si>
  <si>
    <t>col.AVSC1 limit-lossyG,lossyA,intra.B.eqn.bpp.colour</t>
  </si>
  <si>
    <t>col.AVSC1 limit-lossyG,lossyA,intra.B.eqn.bpp.reflectance</t>
  </si>
  <si>
    <t>col.AVSC1 limit-lossyG,lossyA,intra.B.eqn.bpop</t>
  </si>
  <si>
    <t>col.AVSC1 limit-lossyG,lossyA,intra.B.dec.numpoints</t>
  </si>
  <si>
    <t>col.AVSC1 limit-lossyG,lossyA,intra.B.enc.ext.bits</t>
  </si>
  <si>
    <t>col.AVSC1 limit-lossyG,lossyA,intra.B.enc.bits.geometry</t>
  </si>
  <si>
    <t>col.AVSC1 limit-lossyG,lossyA,intra.B.enc.bits.colour</t>
  </si>
  <si>
    <t>col.AVSC1 limit-lossyG,lossyA,intra.B.enc.bits.reflectance</t>
  </si>
  <si>
    <t>col.AVSC1 limit-lossyG,lossyA,intra.B.dec.y-psnr</t>
  </si>
  <si>
    <t>col.AVSC1 limit-lossyG,lossyA,intra.B.dec.cb-psnr</t>
  </si>
  <si>
    <t>col.AVSC1 limit-lossyG,lossyA,intra.B.dec.cr-psnr</t>
  </si>
  <si>
    <t>col.AVSC1 limit-lossyG,lossyA,intra.B.dec.reflectance-psnr</t>
  </si>
  <si>
    <t>col.AVSC1 limit-lossyG,lossyA,intra.B.enc.utime</t>
  </si>
  <si>
    <t>col.AVSC1 limit-lossyG,lossyA,intra.B.dec.utime</t>
  </si>
  <si>
    <t>col.AVSC1 limit-lossyG,lossyA,intra.B.enc.ext.maxrssk</t>
  </si>
  <si>
    <t>col.AVSC1 limit-lossyG,lossyA,intra.B.dec.ext.maxrssk</t>
  </si>
  <si>
    <t>name.A.AVSC1 limit-lossyG,lossyA,intra</t>
  </si>
  <si>
    <t>name.B.AVSC1 limit-lossyG,lossyA,intra</t>
  </si>
  <si>
    <t>cols.AVSC1 limit-lossyG,lossyA,intra</t>
  </si>
  <si>
    <t>col.AVSC3 losslG,limit-lossyA,intra.class</t>
  </si>
  <si>
    <t>col.AVSC3 losslG,limit-lossyA,intra.sequence</t>
  </si>
  <si>
    <t>col.AVSC3 losslG,limit-lossyA,intra.variant</t>
  </si>
  <si>
    <t>col.AVSC3 losslG,limit-lossyA,intra.src.numpoints</t>
  </si>
  <si>
    <t>col.AVSC3 losslG,limit-lossyA,intra.src.geometry-precision</t>
  </si>
  <si>
    <t>col.AVSC3 losslG,limit-lossyA,intra.src.framecount</t>
  </si>
  <si>
    <t>col.AVSC3 losslG,limit-lossyA,intra.src.framerate</t>
  </si>
  <si>
    <t>col.AVSC3 losslG,limit-lossyA,intra.A.eqn.bitrate</t>
  </si>
  <si>
    <t>col.AVSC3 losslG,limit-lossyA,intra.A.eqn.bpp</t>
  </si>
  <si>
    <t>col.AVSC3 losslG,limit-lossyA,intra.A.eqn.bpp.geometry</t>
  </si>
  <si>
    <t>col.AVSC3 losslG,limit-lossyA,intra.A.eqn.bpp.colour</t>
  </si>
  <si>
    <t>col.AVSC3 losslG,limit-lossyA,intra.A.eqn.bpp.reflectance</t>
  </si>
  <si>
    <t>col.AVSC3 losslG,limit-lossyA,intra.A.eqn.bpop</t>
  </si>
  <si>
    <t>col.AVSC3 losslG,limit-lossyA,intra.A.dec.numpoints</t>
  </si>
  <si>
    <t>col.AVSC3 losslG,limit-lossyA,intra.A.enc.ext.bits</t>
  </si>
  <si>
    <t>col.AVSC3 losslG,limit-lossyA,intra.A.enc.bits.geometry</t>
  </si>
  <si>
    <t>col.AVSC3 losslG,limit-lossyA,intra.A.enc.bits.colour</t>
  </si>
  <si>
    <t>col.AVSC3 losslG,limit-lossyA,intra.A.enc.bits.reflectance</t>
  </si>
  <si>
    <t>col.AVSC3 losslG,limit-lossyA,intra.A.dec.y-psnr</t>
  </si>
  <si>
    <t>col.AVSC3 losslG,limit-lossyA,intra.A.dec.cb-psnr</t>
  </si>
  <si>
    <t>col.AVSC3 losslG,limit-lossyA,intra.A.dec.cr-psnr</t>
  </si>
  <si>
    <t>col.AVSC3 losslG,limit-lossyA,intra.A.dec.reflectance-psnr</t>
  </si>
  <si>
    <t>col.AVSC3 losslG,limit-lossyA,intra.A.dec.y-hpsnr</t>
  </si>
  <si>
    <t>col.AVSC3 losslG,limit-lossyA,intra.A.dec.cb-hpsnr</t>
  </si>
  <si>
    <t>col.AVSC3 losslG,limit-lossyA,intra.A.dec.cr-hpsnr</t>
  </si>
  <si>
    <t>col.AVSC3 losslG,limit-lossyA,intra.A.dec.reflectance-hpsnr</t>
  </si>
  <si>
    <t>col.AVSC3 losslG,limit-lossyA,intra.A.enc.utime</t>
  </si>
  <si>
    <t>col.AVSC3 losslG,limit-lossyA,intra.A.dec.utime</t>
  </si>
  <si>
    <t>col.AVSC3 losslG,limit-lossyA,intra.A.enc.ext.maxrssk</t>
  </si>
  <si>
    <t>col.AVSC3 losslG,limit-lossyA,intra.A.dec.ext.maxrssk</t>
  </si>
  <si>
    <t>col.AVSC3 losslG,limit-lossyA,intra.A.dec.enc.match</t>
  </si>
  <si>
    <t>col.AVSC3 losslG,limit-lossyA,intra.B.eqn.bitrate</t>
  </si>
  <si>
    <t>col.AVSC3 losslG,limit-lossyA,intra.B.eqn.bpp</t>
  </si>
  <si>
    <t>col.AVSC3 losslG,limit-lossyA,intra.B.eqn.bpp.geometry</t>
  </si>
  <si>
    <t>col.AVSC3 losslG,limit-lossyA,intra.B.eqn.bpp.colour</t>
  </si>
  <si>
    <t>col.AVSC3 losslG,limit-lossyA,intra.B.eqn.bpp.reflectance</t>
  </si>
  <si>
    <t>col.AVSC3 losslG,limit-lossyA,intra.B.eqn.bpop</t>
  </si>
  <si>
    <t>col.AVSC3 losslG,limit-lossyA,intra.B.dec.numpoints</t>
  </si>
  <si>
    <t>col.AVSC3 losslG,limit-lossyA,intra.B.enc.ext.bits</t>
  </si>
  <si>
    <t>col.AVSC3 losslG,limit-lossyA,intra.B.enc.bits.geometry</t>
  </si>
  <si>
    <t>col.AVSC3 losslG,limit-lossyA,intra.B.enc.bits.colour</t>
  </si>
  <si>
    <t>col.AVSC3 losslG,limit-lossyA,intra.B.enc.bits.reflectance</t>
  </si>
  <si>
    <t>col.AVSC3 losslG,limit-lossyA,intra.B.dec.y-psnr</t>
  </si>
  <si>
    <t>col.AVSC3 losslG,limit-lossyA,intra.B.dec.cb-psnr</t>
  </si>
  <si>
    <t>col.AVSC3 losslG,limit-lossyA,intra.B.dec.cr-psnr</t>
  </si>
  <si>
    <t>col.AVSC3 losslG,limit-lossyA,intra.B.dec.reflectance-psnr</t>
  </si>
  <si>
    <t>col.AVSC3 losslG,limit-lossyA,intra.B.dec.y-hpsnr</t>
  </si>
  <si>
    <t>col.AVSC3 losslG,limit-lossyA,intra.B.dec.cb-hpsnr</t>
  </si>
  <si>
    <t>col.AVSC3 losslG,limit-lossyA,intra.B.dec.cr-hpsnr</t>
  </si>
  <si>
    <t>col.AVSC3 losslG,limit-lossyA,intra.B.dec.reflectance-hpsnr</t>
  </si>
  <si>
    <t>col.AVSC3 losslG,limit-lossyA,intra.B.enc.utime</t>
  </si>
  <si>
    <t>col.AVSC3 losslG,limit-lossyA,intra.B.dec.utime</t>
  </si>
  <si>
    <t>col.AVSC3 losslG,limit-lossyA,intra.B.enc.ext.maxrssk</t>
  </si>
  <si>
    <t>col.AVSC3 losslG,limit-lossyA,intra.B.dec.ext.maxrssk</t>
  </si>
  <si>
    <t>col.AVSC3 losslG,limit-lossyA,intra.B.dec.enc.match</t>
  </si>
  <si>
    <t>col.AVSC3 losslG,limit-lossyA,intra.eqn.ab.ratio-enc-maxrssk</t>
  </si>
  <si>
    <t>col.AVSC3 losslG,limit-lossyA,intra.eqn.ab.ratio-dec-maxrssk</t>
  </si>
  <si>
    <t>col.AVSC3 losslG,limit-lossyA,intra.eqn.ab.bdrate-y-attrrate</t>
  </si>
  <si>
    <t>col.AVSC3 losslG,limit-lossyA,intra.eqn.ab.bdrate-cb-attrrate</t>
  </si>
  <si>
    <t>col.AVSC3 losslG,limit-lossyA,intra.eqn.ab.bdrate-cr-attrrate</t>
  </si>
  <si>
    <t>col.AVSC3 losslG,limit-lossyA,intra.eqn.ab.bdrate-reflectance-attrrate</t>
  </si>
  <si>
    <t>col.AVSC3 losslG,limit-lossyA,intra.eqn.ab.bdrate-hy-attrrate</t>
  </si>
  <si>
    <t>col.AVSC3 losslG,limit-lossyA,intra.eqn.ab.bdrate-hcb-attrrate</t>
  </si>
  <si>
    <t>col.AVSC3 losslG,limit-lossyA,intra.eqn.ab.bdrate-hcr-attrrate</t>
  </si>
  <si>
    <t>col.AVSC3 losslG,limit-lossyA,intra.eqn.ab.bdrate-hreflectance-attrrate</t>
  </si>
  <si>
    <t>col.AVSC3 losslG,limit-lossyA,intra.eqn.ab.bdrate-y</t>
  </si>
  <si>
    <t>col.AVSC3 losslG,limit-lossyA,intra.eqn.ab.bdrate-cb</t>
  </si>
  <si>
    <t>col.AVSC3 losslG,limit-lossyA,intra.eqn.ab.bdrate-cr</t>
  </si>
  <si>
    <t>col.AVSC3 losslG,limit-lossyA,intra.eqn.ab.bdrate-reflectance</t>
  </si>
  <si>
    <t>col.AVSC3 losslG,limit-lossyA,intra.eqn.ab.bdrate-hy</t>
  </si>
  <si>
    <t>col.AVSC3 losslG,limit-lossyA,intra.eqn.ab.bdrate-hcb</t>
  </si>
  <si>
    <t>col.AVSC3 losslG,limit-lossyA,intra.eqn.ab.bdrate-hcr</t>
  </si>
  <si>
    <t>col.AVSC3 losslG,limit-lossyA,intra.eqn.ab.bdrate-hreflectance</t>
  </si>
  <si>
    <t>name.A.AVSC3 losslG,limit-lossyA,intra</t>
  </si>
  <si>
    <t>name.B.AVSC3 losslG,limit-lossyA,intra</t>
  </si>
  <si>
    <t>cols.AVSC3 losslG,limit-lossyA,intra</t>
  </si>
  <si>
    <t>dec.cr-hpsnr</t>
    <phoneticPr fontId="2" type="noConversion"/>
  </si>
  <si>
    <t>dec.cb-hpsnr</t>
    <phoneticPr fontId="2" type="noConversion"/>
  </si>
  <si>
    <t>dec.d1-hpsnr</t>
    <phoneticPr fontId="2" type="noConversion"/>
  </si>
  <si>
    <t>range.AVSC4 losslG,losslA,intra.ford_03</t>
    <phoneticPr fontId="2" type="noConversion"/>
  </si>
  <si>
    <t>range.AVSC4 losslG,losslA,intra.ford_02</t>
    <phoneticPr fontId="2" type="noConversion"/>
  </si>
  <si>
    <t>range.AVSC4 losslG,losslA,intra.ford_01</t>
    <phoneticPr fontId="2" type="noConversion"/>
  </si>
  <si>
    <t>range.AVSC3 losslG,limit-lossyA,intra.ford_03</t>
    <phoneticPr fontId="2" type="noConversion"/>
  </si>
  <si>
    <t>range.AVSC3 losslG,limit-lossyA,intra.ford_02</t>
    <phoneticPr fontId="2" type="noConversion"/>
  </si>
  <si>
    <t>range.AVSC3 losslG,limit-lossyA,intra.ford_01</t>
    <phoneticPr fontId="2" type="noConversion"/>
  </si>
  <si>
    <t>range.AVSC2 losslG,lossyA,intra.ford_02</t>
    <phoneticPr fontId="2" type="noConversion"/>
  </si>
  <si>
    <t>range.AVSC2 losslG,lossyA,intra.ford_01</t>
    <phoneticPr fontId="2" type="noConversion"/>
  </si>
  <si>
    <t>col.AVSC4 losslG,losslA,intra.eqn.ab.delta-geom_total_bits_ratio</t>
    <phoneticPr fontId="2" type="noConversion"/>
  </si>
  <si>
    <t>col.AVSC4 losslG,losslA,intra.eqn.ab.mean-delta-geom_total_bits_ratio</t>
    <phoneticPr fontId="2" type="noConversion"/>
  </si>
  <si>
    <t>col.AVSC3 losslG,limit-lossyA,intra.eqn.ab.delta-geom_total_bits_ratio</t>
    <phoneticPr fontId="2" type="noConversion"/>
  </si>
  <si>
    <t>col.AVSC3 losslG,limit-lossyA,intra.eqn.ab.mean-delta-geom_total_bits_ratio</t>
    <phoneticPr fontId="2" type="noConversion"/>
  </si>
  <si>
    <t>cols.AVSC2 losslG,lossyA,ra</t>
  </si>
  <si>
    <t>cols.AVSC3 losslG,limit-lossyA,ra</t>
  </si>
  <si>
    <t>cols.AVSC4 losslG,losslA,ra</t>
  </si>
  <si>
    <t>col.AVSC1 limit-lossyG,lossyA,ra.class</t>
  </si>
  <si>
    <t>col.AVSC1 limit-lossyG,lossyA,ra.sequence</t>
  </si>
  <si>
    <t>col.AVSC1 limit-lossyG,lossyA,ra.variant</t>
  </si>
  <si>
    <t>col.AVSC1 limit-lossyG,lossyA,ra.src.numpoints</t>
  </si>
  <si>
    <t>col.AVSC1 limit-lossyG,lossyA,ra.src.geometry-precision</t>
  </si>
  <si>
    <t>col.AVSC1 limit-lossyG,lossyA,ra.src.framecount</t>
  </si>
  <si>
    <t>col.AVSC1 limit-lossyG,lossyA,ra.src.framerate</t>
  </si>
  <si>
    <t>col.AVSC1 limit-lossyG,lossyA,ra.A.eqn.bitrate</t>
  </si>
  <si>
    <t>col.AVSC1 limit-lossyG,lossyA,ra.A.eqn.bpp</t>
  </si>
  <si>
    <t>col.AVSC1 limit-lossyG,lossyA,ra.A.eqn.bpp.geometry</t>
  </si>
  <si>
    <t>col.AVSC1 limit-lossyG,lossyA,ra.A.eqn.bpp.colour</t>
  </si>
  <si>
    <t>col.AVSC1 limit-lossyG,lossyA,ra.A.eqn.bpp.reflectance</t>
  </si>
  <si>
    <t>col.AVSC1 limit-lossyG,lossyA,ra.A.eqn.bpop</t>
  </si>
  <si>
    <t>col.AVSC1 limit-lossyG,lossyA,ra.A.dec.numpoints</t>
  </si>
  <si>
    <t>col.AVSC1 limit-lossyG,lossyA,ra.A.enc.ext.bits</t>
  </si>
  <si>
    <t>col.AVSC1 limit-lossyG,lossyA,ra.A.enc.bits.geometry</t>
  </si>
  <si>
    <t>col.AVSC1 limit-lossyG,lossyA,ra.A.enc.bits.colour</t>
  </si>
  <si>
    <t>col.AVSC1 limit-lossyG,lossyA,ra.A.enc.bits.reflectance</t>
  </si>
  <si>
    <t>col.AVSC1 limit-lossyG,lossyA,ra.A.dec.y-psnr</t>
  </si>
  <si>
    <t>col.AVSC1 limit-lossyG,lossyA,ra.A.dec.cb-psnr</t>
  </si>
  <si>
    <t>col.AVSC1 limit-lossyG,lossyA,ra.A.dec.cr-psnr</t>
  </si>
  <si>
    <t>col.AVSC1 limit-lossyG,lossyA,ra.A.dec.reflectance-psnr</t>
  </si>
  <si>
    <t>col.AVSC1 limit-lossyG,lossyA,ra.A.enc.utime</t>
  </si>
  <si>
    <t>col.AVSC1 limit-lossyG,lossyA,ra.A.dec.utime</t>
  </si>
  <si>
    <t>col.AVSC1 limit-lossyG,lossyA,ra.A.enc.ext.maxrssk</t>
  </si>
  <si>
    <t>col.AVSC1 limit-lossyG,lossyA,ra.A.dec.ext.maxrssk</t>
  </si>
  <si>
    <t>col.AVSC1 limit-lossyG,lossyA,ra.B.eqn.bitrate</t>
  </si>
  <si>
    <t>col.AVSC1 limit-lossyG,lossyA,ra.B.eqn.bpp</t>
  </si>
  <si>
    <t>col.AVSC1 limit-lossyG,lossyA,ra.B.eqn.bpp.geometry</t>
  </si>
  <si>
    <t>col.AVSC1 limit-lossyG,lossyA,ra.B.eqn.bpp.colour</t>
  </si>
  <si>
    <t>col.AVSC1 limit-lossyG,lossyA,ra.B.eqn.bpp.reflectance</t>
  </si>
  <si>
    <t>col.AVSC1 limit-lossyG,lossyA,ra.B.eqn.bpop</t>
  </si>
  <si>
    <t>col.AVSC1 limit-lossyG,lossyA,ra.B.dec.numpoints</t>
  </si>
  <si>
    <t>col.AVSC1 limit-lossyG,lossyA,ra.B.enc.ext.bits</t>
  </si>
  <si>
    <t>col.AVSC1 limit-lossyG,lossyA,ra.B.enc.bits.geometry</t>
  </si>
  <si>
    <t>col.AVSC1 limit-lossyG,lossyA,ra.B.enc.bits.colour</t>
  </si>
  <si>
    <t>col.AVSC1 limit-lossyG,lossyA,ra.B.enc.bits.reflectance</t>
  </si>
  <si>
    <t>col.AVSC1 limit-lossyG,lossyA,ra.B.dec.y-psnr</t>
  </si>
  <si>
    <t>col.AVSC1 limit-lossyG,lossyA,ra.B.dec.cb-psnr</t>
  </si>
  <si>
    <t>col.AVSC1 limit-lossyG,lossyA,ra.B.dec.cr-psnr</t>
  </si>
  <si>
    <t>col.AVSC1 limit-lossyG,lossyA,ra.B.dec.reflectance-psnr</t>
  </si>
  <si>
    <t>col.AVSC1 limit-lossyG,lossyA,ra.B.enc.utime</t>
  </si>
  <si>
    <t>col.AVSC1 limit-lossyG,lossyA,ra.B.dec.utime</t>
  </si>
  <si>
    <t>col.AVSC1 limit-lossyG,lossyA,ra.B.enc.ext.maxrssk</t>
  </si>
  <si>
    <t>col.AVSC1 limit-lossyG,lossyA,ra.B.dec.ext.maxrssk</t>
  </si>
  <si>
    <t>col.AVSC1 limit-lossyG,lossyA,ra.eqn.ab.ratio-enc-maxrssk</t>
  </si>
  <si>
    <t>col.AVSC1 limit-lossyG,lossyA,ra.eqn.ab.ratio-dec-maxrssk</t>
  </si>
  <si>
    <t>col.AVSC1 limit-lossyG,lossyA,ra.eqn.ab.delta-geom_total_bits_ratio</t>
  </si>
  <si>
    <t>col.AVSC1 limit-lossyG,lossyA,ra.eqn.ab.mean-delta-geom_totle_bits_ratio</t>
  </si>
  <si>
    <t>col.AVSC1 limit-lossyG,lossyA,ra.eqn.ab.bdrate-d1-geomrate</t>
  </si>
  <si>
    <t>col.AVSC1 limit-lossyG,lossyA,ra.eqn.ab.bdrate-y-attrrate</t>
  </si>
  <si>
    <t>col.AVSC1 limit-lossyG,lossyA,ra.eqn.ab.bdrate-cb-attrrate</t>
  </si>
  <si>
    <t>col.AVSC1 limit-lossyG,lossyA,ra.eqn.ab.bdrate-cr-attrrate</t>
  </si>
  <si>
    <t>col.AVSC1 limit-lossyG,lossyA,ra.eqn.ab.bdrate-reflectance-attrrate</t>
  </si>
  <si>
    <t>col.AVSC1 limit-lossyG,lossyA,ra.eqn.ab.bdrate-d1</t>
  </si>
  <si>
    <t>col.AVSC1 limit-lossyG,lossyA,ra.eqn.ab.bdrate-y</t>
  </si>
  <si>
    <t>col.AVSC1 limit-lossyG,lossyA,ra.eqn.ab.bdrate-cb</t>
  </si>
  <si>
    <t>col.AVSC1 limit-lossyG,lossyA,ra.eqn.ab.bdrate-cr</t>
  </si>
  <si>
    <t>col.AVSC1 limit-lossyG,lossyA,ra.eqn.ab.bdrate-reflectance</t>
  </si>
  <si>
    <t>col.AVSC2 losslG,lossyA,ra.class</t>
  </si>
  <si>
    <t>col.AVSC2 losslG,lossyA,ra.sequence</t>
  </si>
  <si>
    <t>col.AVSC2 losslG,lossyA,ra.variant</t>
  </si>
  <si>
    <t>col.AVSC2 losslG,lossyA,ra.src.numpoints</t>
  </si>
  <si>
    <t>col.AVSC2 losslG,lossyA,ra.src.geometry-precision</t>
  </si>
  <si>
    <t>col.AVSC2 losslG,lossyA,ra.src.framecount</t>
  </si>
  <si>
    <t>col.AVSC2 losslG,lossyA,ra.src.framerate</t>
  </si>
  <si>
    <t>col.AVSC2 losslG,lossyA,ra.A.eqn.bitrate</t>
  </si>
  <si>
    <t>col.AVSC2 losslG,lossyA,ra.A.eqn.bpp</t>
  </si>
  <si>
    <t>col.AVSC2 losslG,lossyA,ra.A.eqn.bpp.geometry</t>
  </si>
  <si>
    <t>col.AVSC2 losslG,lossyA,ra.A.eqn.bpp.colour</t>
  </si>
  <si>
    <t>col.AVSC2 losslG,lossyA,ra.A.eqn.bpp.reflectance</t>
  </si>
  <si>
    <t>col.AVSC2 losslG,lossyA,ra.A.eqn.bpop</t>
  </si>
  <si>
    <t>col.AVSC2 losslG,lossyA,ra.A.dec.numpoints</t>
  </si>
  <si>
    <t>col.AVSC2 losslG,lossyA,ra.A.enc.ext.bits</t>
  </si>
  <si>
    <t>col.AVSC2 losslG,lossyA,ra.A.enc.bits.geometry</t>
  </si>
  <si>
    <t>col.AVSC2 losslG,lossyA,ra.A.enc.bits.colour</t>
  </si>
  <si>
    <t>col.AVSC2 losslG,lossyA,ra.A.enc.bits.reflectance</t>
  </si>
  <si>
    <t>col.AVSC2 losslG,lossyA,ra.A.dec.y-psnr</t>
  </si>
  <si>
    <t>col.AVSC2 losslG,lossyA,ra.A.dec.cb-psnr</t>
  </si>
  <si>
    <t>col.AVSC2 losslG,lossyA,ra.A.dec.cr-psnr</t>
  </si>
  <si>
    <t>col.AVSC2 losslG,lossyA,ra.A.dec.reflectance-psnr</t>
  </si>
  <si>
    <t>col.AVSC2 losslG,lossyA,ra.A.enc.utime</t>
  </si>
  <si>
    <t>col.AVSC2 losslG,lossyA,ra.A.dec.utime</t>
  </si>
  <si>
    <t>col.AVSC2 losslG,lossyA,ra.A.enc.ext.maxrssk</t>
  </si>
  <si>
    <t>col.AVSC2 losslG,lossyA,ra.A.dec.ext.maxrssk</t>
  </si>
  <si>
    <t>col.AVSC2 losslG,lossyA,ra.A.dec.enc.match</t>
  </si>
  <si>
    <t>col.AVSC2 losslG,lossyA,ra.B.eqn.bitrate</t>
  </si>
  <si>
    <t>col.AVSC2 losslG,lossyA,ra.B.eqn.bpp</t>
  </si>
  <si>
    <t>col.AVSC2 losslG,lossyA,ra.B.eqn.bpp.geometry</t>
  </si>
  <si>
    <t>col.AVSC2 losslG,lossyA,ra.B.eqn.bpp.colour</t>
  </si>
  <si>
    <t>col.AVSC2 losslG,lossyA,ra.B.eqn.bpp.reflectance</t>
  </si>
  <si>
    <t>col.AVSC2 losslG,lossyA,ra.B.eqn.bpop</t>
  </si>
  <si>
    <t>col.AVSC2 losslG,lossyA,ra.B.dec.numpoints</t>
  </si>
  <si>
    <t>col.AVSC2 losslG,lossyA,ra.B.enc.ext.bits</t>
  </si>
  <si>
    <t>col.AVSC2 losslG,lossyA,ra.B.enc.bits.geometry</t>
  </si>
  <si>
    <t>col.AVSC2 losslG,lossyA,ra.B.enc.bits.colour</t>
  </si>
  <si>
    <t>col.AVSC2 losslG,lossyA,ra.B.enc.bits.reflectance</t>
  </si>
  <si>
    <t>col.AVSC2 losslG,lossyA,ra.B.dec.y-psnr</t>
  </si>
  <si>
    <t>col.AVSC2 losslG,lossyA,ra.B.dec.cb-psnr</t>
  </si>
  <si>
    <t>col.AVSC2 losslG,lossyA,ra.B.dec.cr-psnr</t>
  </si>
  <si>
    <t>col.AVSC2 losslG,lossyA,ra.B.dec.reflectance-psnr</t>
  </si>
  <si>
    <t>col.AVSC2 losslG,lossyA,ra.B.enc.utime</t>
  </si>
  <si>
    <t>col.AVSC2 losslG,lossyA,ra.B.dec.utime</t>
  </si>
  <si>
    <t>col.AVSC2 losslG,lossyA,ra.B.enc.ext.maxrssk</t>
  </si>
  <si>
    <t>col.AVSC2 losslG,lossyA,ra.B.dec.ext.maxrssk</t>
  </si>
  <si>
    <t>col.AVSC2 losslG,lossyA,ra.B.dec.enc.match</t>
  </si>
  <si>
    <t>col.AVSC2 losslG,lossyA,ra.eqn.ab.ratio-enc-maxrssk</t>
  </si>
  <si>
    <t>col.AVSC2 losslG,lossyA,ra.eqn.ab.ratio-dec-maxrssk</t>
  </si>
  <si>
    <t>col.AVSC2 losslG,lossyA,ra.eqn.ab.delta-geom_total_bits_ratio</t>
  </si>
  <si>
    <t>col.AVSC2 losslG,lossyA,ra.eqn.ab.mean-delta-geom_total_bits_ratio</t>
  </si>
  <si>
    <t>col.AVSC2 losslG,lossyA,ra.eqn.ab.bdrate-y-attrrate</t>
  </si>
  <si>
    <t>col.AVSC2 losslG,lossyA,ra.eqn.ab.bdrate-cb-attrrate</t>
  </si>
  <si>
    <t>col.AVSC2 losslG,lossyA,ra.eqn.ab.bdrate-cr-attrrate</t>
  </si>
  <si>
    <t>col.AVSC2 losslG,lossyA,ra.eqn.ab.bdrate-reflectance-attrrate</t>
  </si>
  <si>
    <t>col.AVSC2 losslG,lossyA,ra.eqn.ab.bdrate-y</t>
  </si>
  <si>
    <t>col.AVSC2 losslG,lossyA,ra.eqn.ab.bdrate-cb</t>
  </si>
  <si>
    <t>col.AVSC2 losslG,lossyA,ra.eqn.ab.bdrate-cr</t>
  </si>
  <si>
    <t>col.AVSC2 losslG,lossyA,ra.eqn.ab.bdrate-reflectance</t>
  </si>
  <si>
    <t>name.A.AVSC2 losslG,lossyA,ra</t>
  </si>
  <si>
    <t>name.B.AVSC2 losslG,lossyA,ra</t>
  </si>
  <si>
    <t>range.AVSC2 losslG,lossyA,ra.ford_01</t>
  </si>
  <si>
    <t>range.AVSC2 losslG,lossyA,ra.ford_02</t>
  </si>
  <si>
    <t>range.AVSC2 losslG,lossyA,ra.ford_03</t>
  </si>
  <si>
    <t>col.AVSC3 losslG,limit-lossyA,ra.class</t>
  </si>
  <si>
    <t>col.AVSC3 losslG,limit-lossyA,ra.sequence</t>
  </si>
  <si>
    <t>col.AVSC3 losslG,limit-lossyA,ra.variant</t>
  </si>
  <si>
    <t>col.AVSC3 losslG,limit-lossyA,ra.src.numpoints</t>
  </si>
  <si>
    <t>col.AVSC3 losslG,limit-lossyA,ra.src.geometry-precision</t>
  </si>
  <si>
    <t>col.AVSC3 losslG,limit-lossyA,ra.src.framecount</t>
  </si>
  <si>
    <t>col.AVSC3 losslG,limit-lossyA,ra.src.framerate</t>
  </si>
  <si>
    <t>col.AVSC3 losslG,limit-lossyA,ra.A.eqn.bitrate</t>
  </si>
  <si>
    <t>col.AVSC3 losslG,limit-lossyA,ra.A.eqn.bpp</t>
  </si>
  <si>
    <t>col.AVSC3 losslG,limit-lossyA,ra.A.eqn.bpp.geometry</t>
  </si>
  <si>
    <t>col.AVSC3 losslG,limit-lossyA,ra.A.eqn.bpp.colour</t>
  </si>
  <si>
    <t>col.AVSC3 losslG,limit-lossyA,ra.A.eqn.bpp.reflectance</t>
  </si>
  <si>
    <t>col.AVSC3 losslG,limit-lossyA,ra.A.eqn.bpop</t>
  </si>
  <si>
    <t>col.AVSC3 losslG,limit-lossyA,ra.A.dec.numpoints</t>
  </si>
  <si>
    <t>col.AVSC3 losslG,limit-lossyA,ra.A.enc.ext.bits</t>
  </si>
  <si>
    <t>col.AVSC3 losslG,limit-lossyA,ra.A.enc.bits.geometry</t>
  </si>
  <si>
    <t>col.AVSC3 losslG,limit-lossyA,ra.A.enc.bits.colour</t>
  </si>
  <si>
    <t>col.AVSC3 losslG,limit-lossyA,ra.A.enc.bits.reflectance</t>
  </si>
  <si>
    <t>col.AVSC3 losslG,limit-lossyA,ra.A.dec.y-psnr</t>
  </si>
  <si>
    <t>col.AVSC3 losslG,limit-lossyA,ra.A.dec.cb-psnr</t>
  </si>
  <si>
    <t>col.AVSC3 losslG,limit-lossyA,ra.A.dec.cr-psnr</t>
  </si>
  <si>
    <t>col.AVSC3 losslG,limit-lossyA,ra.A.dec.reflectance-psnr</t>
  </si>
  <si>
    <t>col.AVSC3 losslG,limit-lossyA,ra.A.dec.y-hpsnr</t>
  </si>
  <si>
    <t>col.AVSC3 losslG,limit-lossyA,ra.A.dec.cb-hpsnr</t>
  </si>
  <si>
    <t>col.AVSC3 losslG,limit-lossyA,ra.A.dec.cr-hpsnr</t>
  </si>
  <si>
    <t>col.AVSC3 losslG,limit-lossyA,ra.A.dec.reflectance-hpsnr</t>
  </si>
  <si>
    <t>col.AVSC3 losslG,limit-lossyA,ra.A.enc.utime</t>
  </si>
  <si>
    <t>col.AVSC3 losslG,limit-lossyA,ra.A.dec.utime</t>
  </si>
  <si>
    <t>col.AVSC3 losslG,limit-lossyA,ra.A.enc.ext.maxrssk</t>
  </si>
  <si>
    <t>col.AVSC3 losslG,limit-lossyA,ra.A.dec.ext.maxrssk</t>
  </si>
  <si>
    <t>col.AVSC3 losslG,limit-lossyA,ra.A.dec.enc.match</t>
  </si>
  <si>
    <t>col.AVSC3 losslG,limit-lossyA,ra.B.eqn.bitrate</t>
  </si>
  <si>
    <t>col.AVSC3 losslG,limit-lossyA,ra.B.eqn.bpp</t>
  </si>
  <si>
    <t>col.AVSC3 losslG,limit-lossyA,ra.B.eqn.bpp.geometry</t>
  </si>
  <si>
    <t>col.AVSC3 losslG,limit-lossyA,ra.B.eqn.bpp.colour</t>
  </si>
  <si>
    <t>col.AVSC3 losslG,limit-lossyA,ra.B.eqn.bpp.reflectance</t>
  </si>
  <si>
    <t>col.AVSC3 losslG,limit-lossyA,ra.B.eqn.bpop</t>
  </si>
  <si>
    <t>col.AVSC3 losslG,limit-lossyA,ra.B.dec.numpoints</t>
  </si>
  <si>
    <t>col.AVSC3 losslG,limit-lossyA,ra.B.enc.ext.bits</t>
  </si>
  <si>
    <t>col.AVSC3 losslG,limit-lossyA,ra.B.enc.bits.geometry</t>
  </si>
  <si>
    <t>col.AVSC3 losslG,limit-lossyA,ra.B.enc.bits.colour</t>
  </si>
  <si>
    <t>col.AVSC3 losslG,limit-lossyA,ra.B.enc.bits.reflectance</t>
  </si>
  <si>
    <t>col.AVSC3 losslG,limit-lossyA,ra.B.dec.y-psnr</t>
  </si>
  <si>
    <t>col.AVSC3 losslG,limit-lossyA,ra.B.dec.cb-psnr</t>
  </si>
  <si>
    <t>col.AVSC3 losslG,limit-lossyA,ra.B.dec.cr-psnr</t>
  </si>
  <si>
    <t>col.AVSC3 losslG,limit-lossyA,ra.B.dec.reflectance-psnr</t>
  </si>
  <si>
    <t>col.AVSC3 losslG,limit-lossyA,ra.B.dec.y-hpsnr</t>
  </si>
  <si>
    <t>col.AVSC3 losslG,limit-lossyA,ra.B.dec.cb-hpsnr</t>
  </si>
  <si>
    <t>col.AVSC3 losslG,limit-lossyA,ra.B.dec.cr-hpsnr</t>
  </si>
  <si>
    <t>col.AVSC3 losslG,limit-lossyA,ra.B.dec.reflectance-hpsnr</t>
  </si>
  <si>
    <t>col.AVSC3 losslG,limit-lossyA,ra.B.enc.utime</t>
  </si>
  <si>
    <t>col.AVSC3 losslG,limit-lossyA,ra.B.dec.utime</t>
  </si>
  <si>
    <t>col.AVSC3 losslG,limit-lossyA,ra.B.enc.ext.maxrssk</t>
  </si>
  <si>
    <t>col.AVSC3 losslG,limit-lossyA,ra.B.dec.ext.maxrssk</t>
  </si>
  <si>
    <t>col.AVSC3 losslG,limit-lossyA,ra.B.dec.enc.match</t>
  </si>
  <si>
    <t>col.AVSC3 losslG,limit-lossyA,ra.eqn.ab.ratio-enc-maxrssk</t>
  </si>
  <si>
    <t>col.AVSC3 losslG,limit-lossyA,ra.eqn.ab.ratio-dec-maxrssk</t>
  </si>
  <si>
    <t>col.AVSC3 losslG,limit-lossyA,ra.eqn.ab.delta-geom_total_bits_ratio</t>
  </si>
  <si>
    <t>col.AVSC3 losslG,limit-lossyA,ra.eqn.ab.mean-delta-geom_total_bits_ratio</t>
  </si>
  <si>
    <t>col.AVSC3 losslG,limit-lossyA,ra.eqn.ab.bdrate-y-attrrate</t>
  </si>
  <si>
    <t>col.AVSC3 losslG,limit-lossyA,ra.eqn.ab.bdrate-cb-attrrate</t>
  </si>
  <si>
    <t>col.AVSC3 losslG,limit-lossyA,ra.eqn.ab.bdrate-cr-attrrate</t>
  </si>
  <si>
    <t>col.AVSC3 losslG,limit-lossyA,ra.eqn.ab.bdrate-reflectance-attrrate</t>
  </si>
  <si>
    <t>col.AVSC3 losslG,limit-lossyA,ra.eqn.ab.bdrate-hy-attrrate</t>
  </si>
  <si>
    <t>col.AVSC3 losslG,limit-lossyA,ra.eqn.ab.bdrate-hcb-attrrate</t>
  </si>
  <si>
    <t>col.AVSC3 losslG,limit-lossyA,ra.eqn.ab.bdrate-hcr-attrrate</t>
  </si>
  <si>
    <t>col.AVSC3 losslG,limit-lossyA,ra.eqn.ab.bdrate-hreflectance-attrrate</t>
  </si>
  <si>
    <t>col.AVSC3 losslG,limit-lossyA,ra.eqn.ab.bdrate-y</t>
  </si>
  <si>
    <t>col.AVSC3 losslG,limit-lossyA,ra.eqn.ab.bdrate-cb</t>
  </si>
  <si>
    <t>col.AVSC3 losslG,limit-lossyA,ra.eqn.ab.bdrate-cr</t>
  </si>
  <si>
    <t>col.AVSC3 losslG,limit-lossyA,ra.eqn.ab.bdrate-reflectance</t>
  </si>
  <si>
    <t>col.AVSC3 losslG,limit-lossyA,ra.eqn.ab.bdrate-hy</t>
  </si>
  <si>
    <t>col.AVSC3 losslG,limit-lossyA,ra.eqn.ab.bdrate-hcb</t>
  </si>
  <si>
    <t>col.AVSC3 losslG,limit-lossyA,ra.eqn.ab.bdrate-hcr</t>
  </si>
  <si>
    <t>col.AVSC3 losslG,limit-lossyA,ra.eqn.ab.bdrate-hreflectance</t>
  </si>
  <si>
    <t>name.A.AVSC3 losslG,limit-lossyA,ra</t>
  </si>
  <si>
    <t>name.B.AVSC3 losslG,limit-lossyA,ra</t>
  </si>
  <si>
    <t>range.AVSC3 losslG,limit-lossyA,ra.ford_01</t>
  </si>
  <si>
    <t>range.AVSC3 losslG,limit-lossyA,ra.ford_02</t>
  </si>
  <si>
    <t>range.AVSC3 losslG,limit-lossyA,ra.ford_03</t>
  </si>
  <si>
    <t>col.AVSC4 losslG,losslA,ra.class</t>
  </si>
  <si>
    <t>col.AVSC4 losslG,losslA,ra.sequence</t>
  </si>
  <si>
    <t>col.AVSC4 losslG,losslA,ra.src.numpoints</t>
  </si>
  <si>
    <t>col.AVSC4 losslG,losslA,ra.src.geometry-precision</t>
  </si>
  <si>
    <t>col.AVSC4 losslG,losslA,ra.src.framecount</t>
  </si>
  <si>
    <t>col.AVSC4 losslG,losslA,ra.src.framerate</t>
  </si>
  <si>
    <t>col.AVSC4 losslG,losslA,ra.A.eqn.bitrate</t>
  </si>
  <si>
    <t>col.AVSC4 losslG,losslA,ra.A.eqn.bpp</t>
  </si>
  <si>
    <t>col.AVSC4 losslG,losslA,ra.A.eqn.bpp.geometry</t>
  </si>
  <si>
    <t>col.AVSC4 losslG,losslA,ra.A.eqn.bpp.colour</t>
  </si>
  <si>
    <t>col.AVSC4 losslG,losslA,ra.A.eqn.bpp.reflectance</t>
  </si>
  <si>
    <t>col.AVSC4 losslG,losslA,ra.A.eqn.bpop</t>
  </si>
  <si>
    <t>col.AVSC4 losslG,losslA,ra.A.dec.numpoints</t>
  </si>
  <si>
    <t>col.AVSC4 losslG,losslA,ra.A.enc.ext.bits</t>
  </si>
  <si>
    <t>col.AVSC4 losslG,losslA,ra.A.enc.bits.geometry</t>
  </si>
  <si>
    <t>col.AVSC4 losslG,losslA,ra.A.enc.bits.colour</t>
  </si>
  <si>
    <t>col.AVSC4 losslG,losslA,ra.A.enc.bits.reflectance</t>
  </si>
  <si>
    <t>col.AVSC4 losslG,losslA,ra.A.enc.utime</t>
  </si>
  <si>
    <t>col.AVSC4 losslG,losslA,ra.A.dec.utime</t>
  </si>
  <si>
    <t>col.AVSC4 losslG,losslA,ra.A.enc.ext.maxrssk</t>
  </si>
  <si>
    <t>col.AVSC4 losslG,losslA,ra.A.dec.ext.maxrssk</t>
  </si>
  <si>
    <t>col.AVSC4 losslG,losslA,ra.A.dec.enc.match</t>
  </si>
  <si>
    <t>col.AVSC4 losslG,losslA,ra.B.eqn.bitrate</t>
  </si>
  <si>
    <t>col.AVSC4 losslG,losslA,ra.B.eqn.bpp</t>
  </si>
  <si>
    <t>col.AVSC4 losslG,losslA,ra.B.eqn.bpp.geometry</t>
  </si>
  <si>
    <t>col.AVSC4 losslG,losslA,ra.B.eqn.bpp.colour</t>
  </si>
  <si>
    <t>col.AVSC4 losslG,losslA,ra.B.eqn.bpp.reflectance</t>
  </si>
  <si>
    <t>col.AVSC4 losslG,losslA,ra.B.eqn.bpop</t>
  </si>
  <si>
    <t>col.AVSC4 losslG,losslA,ra.B.dec.numpoints</t>
  </si>
  <si>
    <t>col.AVSC4 losslG,losslA,ra.B.enc.ext.bits</t>
  </si>
  <si>
    <t>col.AVSC4 losslG,losslA,ra.B.enc.bits.geometry</t>
  </si>
  <si>
    <t>col.AVSC4 losslG,losslA,ra.B.enc.bits.colour</t>
  </si>
  <si>
    <t>col.AVSC4 losslG,losslA,ra.B.enc.bits.reflectance</t>
  </si>
  <si>
    <t>col.AVSC4 losslG,losslA,ra.B.enc.utime</t>
  </si>
  <si>
    <t>col.AVSC4 losslG,losslA,ra.B.dec.utime</t>
  </si>
  <si>
    <t>col.AVSC4 losslG,losslA,ra.B.enc.ext.maxrssk</t>
  </si>
  <si>
    <t>col.AVSC4 losslG,losslA,ra.B.dec.ext.maxrssk</t>
  </si>
  <si>
    <t>col.AVSC4 losslG,losslA,ra.B.dec.enc.match</t>
  </si>
  <si>
    <t>col.AVSC4 losslG,losslA,ra.eqn.ab.ratio-bpp</t>
  </si>
  <si>
    <t>col.AVSC4 losslG,losslA,ra.eqn.ab.ratio-bpp-geometry</t>
  </si>
  <si>
    <t>col.AVSC4 losslG,losslA,ra.eqn.ab.ratio-bpp-colour</t>
  </si>
  <si>
    <t>col.AVSC4 losslG,losslA,ra.eqn.ab.ratio-bpp-reflectance</t>
  </si>
  <si>
    <t>col.AVSC4 losslG,losslA,ra.eqn.ab.ratio-enc-maxrssk</t>
  </si>
  <si>
    <t>col.AVSC4 losslG,losslA,ra.eqn.ab.ratio-dec-maxrssk</t>
  </si>
  <si>
    <t>col.AVSC4 losslG,losslA,ra.eqn.ab.delta-geom_total_bits_ratio</t>
  </si>
  <si>
    <t>col.AVSC4 losslG,losslA,ra.eqn.ab.mean-delta-geom_total_bits_ratio</t>
  </si>
  <si>
    <t>name.A.AVSC4 losslG,losslA,ra</t>
  </si>
  <si>
    <t>name.B.AVSC4 losslG,losslA,ra</t>
  </si>
  <si>
    <t>range.AVSC4 losslG,losslA,ra.ford_01</t>
  </si>
  <si>
    <t>range.AVSC4 losslG,losslA,ra.ford_02</t>
  </si>
  <si>
    <t>range.AVSC4 losslG,losslA,ra.ford_03</t>
  </si>
  <si>
    <t>range.AVSC2 losslG,lossyA,intra.ford_03</t>
    <phoneticPr fontId="2" type="noConversion"/>
  </si>
  <si>
    <t>range.AVSC2 losslG,lossyA,intra.livox_01_all</t>
    <phoneticPr fontId="2" type="noConversion"/>
  </si>
  <si>
    <t>range.AVSC3 losslG,limit-lossyA,intra.livox_01_all</t>
    <phoneticPr fontId="2" type="noConversion"/>
  </si>
  <si>
    <t>range.AVSC4 losslG,losslA,intra.livox_01_all</t>
    <phoneticPr fontId="2" type="noConversion"/>
  </si>
  <si>
    <t>geo.h-mse</t>
    <phoneticPr fontId="2" type="noConversion"/>
  </si>
  <si>
    <t>range.AVSC2 losslG,lossyA,intra.livox_02_all</t>
    <phoneticPr fontId="2" type="noConversion"/>
  </si>
  <si>
    <t>range.AVSC2 losslG,lossyA,intra.basketball_player_vox11</t>
    <phoneticPr fontId="2" type="noConversion"/>
  </si>
  <si>
    <t>range.AVSC2 losslG,lossyA,intra.dancer_player_vox11</t>
    <phoneticPr fontId="2" type="noConversion"/>
  </si>
  <si>
    <t>range.AVSC2 losslG,lossyA,intra.exercise_vox11</t>
    <phoneticPr fontId="2" type="noConversion"/>
  </si>
  <si>
    <t>range.AVSC2 losslG,lossyA,intra.model_vox11</t>
    <phoneticPr fontId="2" type="noConversion"/>
  </si>
  <si>
    <t>range.AVSC3 losslG,limit-lossyA,intra.livox_02_all</t>
    <phoneticPr fontId="2" type="noConversion"/>
  </si>
  <si>
    <t>range.AVSC3 losslG,limit-lossyA,intra.basketball_player_vox11</t>
    <phoneticPr fontId="2" type="noConversion"/>
  </si>
  <si>
    <t>range.AVSC3 losslG,limit-lossyA,intra.dancer_player_vox11</t>
    <phoneticPr fontId="2" type="noConversion"/>
  </si>
  <si>
    <t>range.AVSC3 losslG,limit-lossyA,intra.exercise_vox11</t>
    <phoneticPr fontId="2" type="noConversion"/>
  </si>
  <si>
    <t>range.AVSC3 losslG,limit-lossyA,intra.model_vox11</t>
    <phoneticPr fontId="2" type="noConversion"/>
  </si>
  <si>
    <t>range.AVSC4 losslG,losslA,intra.livox_02_all</t>
    <phoneticPr fontId="2" type="noConversion"/>
  </si>
  <si>
    <t>range.AVSC4 losslG,losslA,intra.dancer_player_vox11</t>
    <phoneticPr fontId="2" type="noConversion"/>
  </si>
  <si>
    <t>range.AVSC4 losslG,losslA,intra.exercise_vox11</t>
    <phoneticPr fontId="2" type="noConversion"/>
  </si>
  <si>
    <t>range.AVSC4 losslG,losslA,intra.model_vox11</t>
    <phoneticPr fontId="2" type="noConversion"/>
  </si>
  <si>
    <t>User Encoder runtime [s]</t>
    <phoneticPr fontId="2" type="noConversion"/>
  </si>
  <si>
    <t>User Decoder runtime [s]</t>
    <phoneticPr fontId="2" type="noConversion"/>
  </si>
  <si>
    <t>User Encoder runtime [s]</t>
    <phoneticPr fontId="2" type="noConversion"/>
  </si>
  <si>
    <t>User Decoder runtime [s]</t>
    <phoneticPr fontId="2" type="noConversion"/>
  </si>
  <si>
    <t>cols.AVSC1 limit-lossyG,lossyA,ra</t>
  </si>
  <si>
    <t>col.AVSC1 limit-lossyG,lossyA,intra.A.dec.ext.maxrssk</t>
  </si>
  <si>
    <t>col.AVSC1 limit-lossyG,lossyA,intra.A.geo.h-mse</t>
  </si>
  <si>
    <t>col.AVSC1 limit-lossyG,lossyA,intra.B.geo.h-mse</t>
  </si>
  <si>
    <t>range.AVSC1 limit-lossyG,lossyA,intra.ford_01</t>
  </si>
  <si>
    <t>range.AVSC1 limit-lossyG,lossyA,intra.ford_02</t>
  </si>
  <si>
    <t>range.AVSC1 limit-lossyG,lossyA,intra.ford_03</t>
  </si>
  <si>
    <t>range.AVSC1 limit-lossyG,lossyA,intra.livox_01_all</t>
  </si>
  <si>
    <t>range.AVSC1 limit-lossyG,lossyA,intra.livox_02_all</t>
  </si>
  <si>
    <t>range.AVSC1 limit-lossyG,lossyA,intra.basketball_player_vox11</t>
  </si>
  <si>
    <t>range.AVSC1 limit-lossyG,lossyA,intra.dancer_player_vox11</t>
  </si>
  <si>
    <t>range.AVSC1 limit-lossyG,lossyA,intra.exercise_vox11</t>
  </si>
  <si>
    <t>range.AVSC1 limit-lossyG,lossyA,intra.model_vox11</t>
  </si>
  <si>
    <t>col.AVSC1 limit-lossyG,lossyA,ra.A.geo.h-mse</t>
  </si>
  <si>
    <t>col.AVSC1 limit-lossyG,lossyA,ra.B.geo.h-mse</t>
  </si>
  <si>
    <t>col.AVSC1 limit-lossyG,lossyA,intra.src.numpoints</t>
    <phoneticPr fontId="2" type="noConversion"/>
  </si>
  <si>
    <t>col.AVSC1 limit-lossyG,lossyA,intra.A.dec.d1-psnr</t>
    <phoneticPr fontId="2" type="noConversion"/>
  </si>
  <si>
    <t>col.AVSC1 limit-lossyG,lossyA,intra.A.dec.d1-hpsnr</t>
    <phoneticPr fontId="2" type="noConversion"/>
  </si>
  <si>
    <t>col.AVSC1 limit-lossyG,lossyA,intra.B.dec.d1-psnr</t>
    <phoneticPr fontId="2" type="noConversion"/>
  </si>
  <si>
    <t>col.AVSC1 limit-lossyG,lossyA,intra.B.dec.d1-hpsnr</t>
    <phoneticPr fontId="2" type="noConversion"/>
  </si>
  <si>
    <t>dec.d1-psnr</t>
    <phoneticPr fontId="2" type="noConversion"/>
  </si>
  <si>
    <t>dec.d1-hpsnr</t>
    <phoneticPr fontId="2" type="noConversion"/>
  </si>
  <si>
    <t>range.AVSC1 limit-lossyG,lossyA,intra.bridge_1mm</t>
    <phoneticPr fontId="2" type="noConversion"/>
  </si>
  <si>
    <t>range.AVSC1 limit-lossyG,lossyA,intra.double_T_section_1mm</t>
    <phoneticPr fontId="2" type="noConversion"/>
  </si>
  <si>
    <t>range.AVSC1 limit-lossyG,lossyA,intra.intersection1_1mm</t>
    <phoneticPr fontId="2" type="noConversion"/>
  </si>
  <si>
    <t>range.AVSC1 limit-lossyG,lossyA,intra.intersection2_1mm</t>
    <phoneticPr fontId="2" type="noConversion"/>
  </si>
  <si>
    <t>range.AVSC1 limit-lossyG,lossyA,intra.straight_road_1mm</t>
    <phoneticPr fontId="2" type="noConversion"/>
  </si>
  <si>
    <t>range.AVSC1 limit-lossyG,lossyA,intra.T_section_1mm</t>
    <phoneticPr fontId="2" type="noConversion"/>
  </si>
  <si>
    <t>range.AVSC2 losslG,lossyA,intra.bridge_1mm</t>
    <phoneticPr fontId="2" type="noConversion"/>
  </si>
  <si>
    <t>range.AVSC2 losslG,lossyA,intra.double_T_section_1mm</t>
    <phoneticPr fontId="2" type="noConversion"/>
  </si>
  <si>
    <t>range.AVSC2 losslG,lossyA,intra.intersection1_1mm</t>
    <phoneticPr fontId="2" type="noConversion"/>
  </si>
  <si>
    <t>range.AVSC2 losslG,lossyA,intra.intersection2_1mm</t>
    <phoneticPr fontId="2" type="noConversion"/>
  </si>
  <si>
    <t>range.AVSC2 losslG,lossyA,intra.straight_road_1mm</t>
    <phoneticPr fontId="2" type="noConversion"/>
  </si>
  <si>
    <t>range.AVSC2 losslG,lossyA,intra.T_section_1mm</t>
    <phoneticPr fontId="2" type="noConversion"/>
  </si>
  <si>
    <t>range.AVSC3 losslG,limit-lossyA,intra.bridge_1mm</t>
    <phoneticPr fontId="2" type="noConversion"/>
  </si>
  <si>
    <t>range.AVSC3 losslG,limit-lossyA,intra.double_T_section_1mm</t>
    <phoneticPr fontId="2" type="noConversion"/>
  </si>
  <si>
    <t>range.AVSC3 losslG,limit-lossyA,intra.intersection1_1mm</t>
    <phoneticPr fontId="2" type="noConversion"/>
  </si>
  <si>
    <t>range.AVSC3 losslG,limit-lossyA,intra.intersection2_1mm</t>
    <phoneticPr fontId="2" type="noConversion"/>
  </si>
  <si>
    <t>range.AVSC3 losslG,limit-lossyA,intra.straight_road_1mm</t>
    <phoneticPr fontId="2" type="noConversion"/>
  </si>
  <si>
    <t>range.AVSC3 losslG,limit-lossyA,intra.T_section_1mm</t>
    <phoneticPr fontId="2" type="noConversion"/>
  </si>
  <si>
    <t>range.AVSC4 losslG,losslA,intra.bridge_1mm</t>
    <phoneticPr fontId="2" type="noConversion"/>
  </si>
  <si>
    <t>range.AVSC4 losslG,losslA,intra.double_T_section_1mm</t>
    <phoneticPr fontId="2" type="noConversion"/>
  </si>
  <si>
    <t>range.AVSC4 losslG,losslA,intra.intersection1_1mm</t>
    <phoneticPr fontId="2" type="noConversion"/>
  </si>
  <si>
    <t>range.AVSC4 losslG,losslA,intra.intersection2_1mm</t>
    <phoneticPr fontId="2" type="noConversion"/>
  </si>
  <si>
    <t>range.AVSC4 losslG,losslA,intra.straight_road_1mm</t>
    <phoneticPr fontId="2" type="noConversion"/>
  </si>
  <si>
    <t>range.AVSC4 losslG,losslA,intra.T_section_1mm</t>
    <phoneticPr fontId="2" type="noConversion"/>
  </si>
  <si>
    <t>range.AVSC1 limit-lossyG,lossyA,intra.stanford_area_2_vox20</t>
    <phoneticPr fontId="2" type="noConversion"/>
  </si>
  <si>
    <t>range.AVSC1 limit-lossyG,lossyA,intra.Church_vox16</t>
    <phoneticPr fontId="2" type="noConversion"/>
  </si>
  <si>
    <t>range.AVSC1 limit-lossyG,lossyA,intra.stanford_area_4_vox20</t>
    <phoneticPr fontId="2" type="noConversion"/>
  </si>
  <si>
    <t>range.AVSC1 limit-lossyG,lossyA,intra.Courthouse_vox16</t>
    <phoneticPr fontId="2" type="noConversion"/>
  </si>
  <si>
    <t>range.AVSC1 limit-lossyG,lossyA,intra.Ignatius_vox11</t>
    <phoneticPr fontId="2" type="noConversion"/>
  </si>
  <si>
    <t>range.AVSC1 limit-lossyG,lossyA,intra.QQdog_vox15</t>
    <phoneticPr fontId="2" type="noConversion"/>
  </si>
  <si>
    <t>range.AVSC1 limit-lossyG,lossyA,intra.Truck_vox15</t>
    <phoneticPr fontId="2" type="noConversion"/>
  </si>
  <si>
    <t>range.AVSC2 losslG,lossyA,intra.stanford_area_2_vox20</t>
    <phoneticPr fontId="2" type="noConversion"/>
  </si>
  <si>
    <t>range.AVSC2 losslG,lossyA,intra.stanford_area_4_vox20</t>
    <phoneticPr fontId="2" type="noConversion"/>
  </si>
  <si>
    <t>range.AVSC2 losslG,lossyA,intra.Church_vox16</t>
    <phoneticPr fontId="2" type="noConversion"/>
  </si>
  <si>
    <t>range.AVSC2 losslG,lossyA,intra.Courthouse_vox16</t>
    <phoneticPr fontId="2" type="noConversion"/>
  </si>
  <si>
    <t>range.AVSC2 losslG,lossyA,intra.Ignatius_vox11</t>
    <phoneticPr fontId="2" type="noConversion"/>
  </si>
  <si>
    <t>range.AVSC2 losslG,lossyA,intra.QQdog_vox15</t>
    <phoneticPr fontId="2" type="noConversion"/>
  </si>
  <si>
    <t>range.AVSC2 losslG,lossyA,intra.Truck_vox15</t>
    <phoneticPr fontId="2" type="noConversion"/>
  </si>
  <si>
    <t>range.AVSC3 losslG,limit-lossyA,intra.stanford_area_2_vox20</t>
    <phoneticPr fontId="2" type="noConversion"/>
  </si>
  <si>
    <t>range.AVSC3 losslG,limit-lossyA,intra.stanford_area_4_vox20</t>
    <phoneticPr fontId="2" type="noConversion"/>
  </si>
  <si>
    <t>range.AVSC3 losslG,limit-lossyA,intra.Church_vox16</t>
    <phoneticPr fontId="2" type="noConversion"/>
  </si>
  <si>
    <t>range.AVSC3 losslG,limit-lossyA,intra.Courthouse_vox16</t>
    <phoneticPr fontId="2" type="noConversion"/>
  </si>
  <si>
    <t>range.AVSC3 losslG,limit-lossyA,intra.Ignatius_vox11</t>
    <phoneticPr fontId="2" type="noConversion"/>
  </si>
  <si>
    <t>range.AVSC3 losslG,limit-lossyA,intra.QQdog_vox15</t>
    <phoneticPr fontId="2" type="noConversion"/>
  </si>
  <si>
    <t>range.AVSC3 losslG,limit-lossyA,intra.Truck_vox15</t>
    <phoneticPr fontId="2" type="noConversion"/>
  </si>
  <si>
    <t>range.AVSC4 losslG,losslA,intra.stanford_area_2_vox20</t>
    <phoneticPr fontId="2" type="noConversion"/>
  </si>
  <si>
    <t>range.AVSC4 losslG,losslA,intra.stanford_area_4_vox20</t>
    <phoneticPr fontId="2" type="noConversion"/>
  </si>
  <si>
    <t>range.AVSC4 losslG,losslA,intra.Church_vox16</t>
    <phoneticPr fontId="2" type="noConversion"/>
  </si>
  <si>
    <t>range.AVSC4 losslG,losslA,intra.Courthouse_vox16</t>
    <phoneticPr fontId="2" type="noConversion"/>
  </si>
  <si>
    <t>range.AVSC4 losslG,losslA,intra.Ignatius_vox11</t>
    <phoneticPr fontId="2" type="noConversion"/>
  </si>
  <si>
    <t>range.AVSC4 losslG,losslA,intra.QQdog_vox15</t>
    <phoneticPr fontId="2" type="noConversion"/>
  </si>
  <si>
    <t>range.AVSC4 losslG,losslA,intra.Truck_vox15</t>
    <phoneticPr fontId="2" type="noConversion"/>
  </si>
  <si>
    <t>range.AVSC1 limit-lossyG,lossyA,ra.stanford_area_2_vox20</t>
  </si>
  <si>
    <t>range.AVSC1 limit-lossyG,lossyA,ra.stanford_area_4_vox20</t>
  </si>
  <si>
    <t>range.AVSC1 limit-lossyG,lossyA,ra.Church_vox16</t>
  </si>
  <si>
    <t>range.AVSC1 limit-lossyG,lossyA,ra.Courthouse_vox16</t>
  </si>
  <si>
    <t>range.AVSC1 limit-lossyG,lossyA,ra.Ignatius_vox11</t>
  </si>
  <si>
    <t>range.AVSC1 limit-lossyG,lossyA,ra.QQdog_vox15</t>
  </si>
  <si>
    <t>range.AVSC1 limit-lossyG,lossyA,ra.Truck_vox15</t>
  </si>
  <si>
    <t>range.AVSC1 limit-lossyG,lossyA,ra.ford_01</t>
  </si>
  <si>
    <t>range.AVSC1 limit-lossyG,lossyA,ra.ford_02</t>
  </si>
  <si>
    <t>range.AVSC1 limit-lossyG,lossyA,ra.ford_03</t>
  </si>
  <si>
    <t>range.AVSC1 limit-lossyG,lossyA,ra.livox_01_all</t>
  </si>
  <si>
    <t>range.AVSC1 limit-lossyG,lossyA,ra.livox_02_all</t>
  </si>
  <si>
    <t>range.AVSC1 limit-lossyG,lossyA,ra.basketball_player_vox11</t>
  </si>
  <si>
    <t>range.AVSC1 limit-lossyG,lossyA,ra.dancer_player_vox11</t>
  </si>
  <si>
    <t>range.AVSC1 limit-lossyG,lossyA,ra.exercise_vox11</t>
  </si>
  <si>
    <t>range.AVSC1 limit-lossyG,lossyA,ra.model_vox11</t>
  </si>
  <si>
    <t>range.AVSC4 losslG,losslA,ra.stanford_area_4_vox20</t>
  </si>
  <si>
    <t>range.AVSC4 losslG,losslA,ra.stanford_area_2_vox20</t>
  </si>
  <si>
    <t>range.AVSC4 losslG,losslA,ra.Church_vox16</t>
  </si>
  <si>
    <t>range.AVSC4 losslG,losslA,ra.Courthouse_vox16</t>
  </si>
  <si>
    <t>range.AVSC4 losslG,losslA,ra.Ignatius_vox11</t>
  </si>
  <si>
    <t>range.AVSC4 losslG,losslA,ra.QQdog_vox15</t>
  </si>
  <si>
    <t>range.AVSC4 losslG,losslA,ra.Truck_vox15</t>
  </si>
  <si>
    <t>range.AVSC4 losslG,losslA,ra.livox_01_all</t>
  </si>
  <si>
    <t>range.AVSC4 losslG,losslA,ra.livox_02_all</t>
  </si>
  <si>
    <t>range.AVSC4 losslG,losslA,ra.basketball_player_vox11</t>
  </si>
  <si>
    <t>range.AVSC4 losslG,losslA,ra.dancer_player_vox11</t>
  </si>
  <si>
    <t>range.AVSC4 losslG,losslA,ra.exercise_vox11</t>
  </si>
  <si>
    <t>range.AVSC4 losslG,losslA,ra.model_vox11</t>
  </si>
  <si>
    <t>range.AVSC3 losslG,limit-lossyA,ra.stanford_area_2_vox20</t>
  </si>
  <si>
    <t>range.AVSC3 losslG,limit-lossyA,ra.stanford_area_4_vox20</t>
  </si>
  <si>
    <t>range.AVSC3 losslG,limit-lossyA,ra.Church_vox16</t>
  </si>
  <si>
    <t>range.AVSC3 losslG,limit-lossyA,ra.Courthouse_vox16</t>
  </si>
  <si>
    <t>range.AVSC3 losslG,limit-lossyA,ra.Ignatius_vox11</t>
  </si>
  <si>
    <t>range.AVSC3 losslG,limit-lossyA,ra.QQdog_vox15</t>
  </si>
  <si>
    <t>range.AVSC3 losslG,limit-lossyA,ra.Truck_vox15</t>
  </si>
  <si>
    <t>range.AVSC3 losslG,limit-lossyA,ra.livox_01_all</t>
  </si>
  <si>
    <t>range.AVSC3 losslG,limit-lossyA,ra.livox_02_all</t>
  </si>
  <si>
    <t>range.AVSC3 losslG,limit-lossyA,ra.basketball_player_vox11</t>
  </si>
  <si>
    <t>range.AVSC3 losslG,limit-lossyA,ra.dancer_player_vox11</t>
  </si>
  <si>
    <t>range.AVSC3 losslG,limit-lossyA,ra.exercise_vox11</t>
  </si>
  <si>
    <t>range.AVSC3 losslG,limit-lossyA,ra.model_vox11</t>
  </si>
  <si>
    <t>range.AVSC2 losslG,lossyA,ra.stanford_area_2_vox20</t>
  </si>
  <si>
    <t>range.AVSC2 losslG,lossyA,ra.stanford_area_4_vox20</t>
  </si>
  <si>
    <t>range.AVSC2 losslG,lossyA,ra.Church_vox16</t>
  </si>
  <si>
    <t>range.AVSC2 losslG,lossyA,ra.Courthouse_vox16</t>
  </si>
  <si>
    <t>range.AVSC2 losslG,lossyA,ra.Ignatius_vox11</t>
  </si>
  <si>
    <t>range.AVSC2 losslG,lossyA,ra.QQdog_vox15</t>
  </si>
  <si>
    <t>range.AVSC2 losslG,lossyA,ra.Truck_vox15</t>
  </si>
  <si>
    <t>range.AVSC2 losslG,lossyA,ra.livox_01_all</t>
  </si>
  <si>
    <t>range.AVSC2 losslG,lossyA,ra.livox_02_all</t>
  </si>
  <si>
    <t>range.AVSC2 losslG,lossyA,ra.basketball_player_vox11</t>
  </si>
  <si>
    <t>range.AVSC2 losslG,lossyA,ra.dancer_player_vox11</t>
  </si>
  <si>
    <t>range.AVSC2 losslG,lossyA,ra.exercise_vox11</t>
  </si>
  <si>
    <t>range.AVSC2 losslG,lossyA,ra.model_vox11</t>
  </si>
  <si>
    <t>End-to-End BD‑TotalRate [%]</t>
    <phoneticPr fontId="2" type="noConversion"/>
  </si>
  <si>
    <t>col.AVSC1 limit-lossyG,lossyA,intra.src.attribute-precision</t>
    <phoneticPr fontId="2" type="noConversion"/>
  </si>
  <si>
    <t>col.AVSC1 limit-lossyG,lossyA,intra.A.eqn.ratio</t>
    <phoneticPr fontId="2" type="noConversion"/>
  </si>
  <si>
    <t>col.AVSC1 limit-lossyG,lossyA,intra.A.eqn.ratio.geometry</t>
    <phoneticPr fontId="2" type="noConversion"/>
  </si>
  <si>
    <t>col.AVSC1 limit-lossyG,lossyA,intra.A.eqn.ratio.colour</t>
    <phoneticPr fontId="2" type="noConversion"/>
  </si>
  <si>
    <t>col.AVSC1 limit-lossyG,lossyA,intra.A.eqn.ratio.reflectance</t>
    <phoneticPr fontId="2" type="noConversion"/>
  </si>
  <si>
    <t>col.AVSC2 losslG,lossyA,intra.src.attribute-precision</t>
    <phoneticPr fontId="2" type="noConversion"/>
  </si>
  <si>
    <t>col.AVSC1 limit-lossyG,lossyA,intra.B.eqn.ratio.geometry</t>
    <phoneticPr fontId="2" type="noConversion"/>
  </si>
  <si>
    <t>col.AVSC1 limit-lossyG,lossyA,intra.B.eqn.ratio.colour</t>
    <phoneticPr fontId="2" type="noConversion"/>
  </si>
  <si>
    <t>col.AVSC1 limit-lossyG,lossyA,intra.B.eqn.ratio.reflectance</t>
    <phoneticPr fontId="2" type="noConversion"/>
  </si>
  <si>
    <t>col.AVSC1 limit-lossyG,lossyA,intra.B.eqn.ratio</t>
    <phoneticPr fontId="2" type="noConversion"/>
  </si>
  <si>
    <t>col.AVSC2 losslG,lossyA,intra.A.eqn.ratio.geometry</t>
    <phoneticPr fontId="2" type="noConversion"/>
  </si>
  <si>
    <t>col.AVSC2 losslG,lossyA,intra.A.eqn.ratio.colour</t>
    <phoneticPr fontId="2" type="noConversion"/>
  </si>
  <si>
    <t>col.AVSC2 losslG,lossyA,intra.A.eqn.ratio.reflectance</t>
    <phoneticPr fontId="2" type="noConversion"/>
  </si>
  <si>
    <t>col.AVSC2 losslG,lossyA,intra.A.eqn.ratio</t>
    <phoneticPr fontId="2" type="noConversion"/>
  </si>
  <si>
    <t>col.AVSC2 losslG,lossyA,intra.B.eqn.ratio.geometry</t>
    <phoneticPr fontId="2" type="noConversion"/>
  </si>
  <si>
    <t>col.AVSC2 losslG,lossyA,intra.B.eqn.ratio.colour</t>
    <phoneticPr fontId="2" type="noConversion"/>
  </si>
  <si>
    <t>col.AVSC2 losslG,lossyA,intra.B.eqn.ratio.reflectance</t>
    <phoneticPr fontId="2" type="noConversion"/>
  </si>
  <si>
    <t>col.AVSC2 losslG,lossyA,intra.B.eqn.ratio</t>
    <phoneticPr fontId="2" type="noConversion"/>
  </si>
  <si>
    <t>col.AVSC3 losslG,limit-lossyA,intra.A.eqn.ratio.geometry</t>
    <phoneticPr fontId="2" type="noConversion"/>
  </si>
  <si>
    <t>col.AVSC3 losslG,limit-lossyA,intra.A.eqn.ratio.colour</t>
    <phoneticPr fontId="2" type="noConversion"/>
  </si>
  <si>
    <t>col.AVSC3 losslG,limit-lossyA,intra.A.eqn.ratio.reflectance</t>
    <phoneticPr fontId="2" type="noConversion"/>
  </si>
  <si>
    <t>col.AVSC3 losslG,limit-lossyA,intra.A.eqn.ratio</t>
    <phoneticPr fontId="2" type="noConversion"/>
  </si>
  <si>
    <t>col.AVSC3 losslG,limit-lossyA,intra.B.eqn.ratio</t>
    <phoneticPr fontId="2" type="noConversion"/>
  </si>
  <si>
    <t>col.AVSC3 losslG,limit-lossyA,intra.B.eqn.ratio.geometry</t>
    <phoneticPr fontId="2" type="noConversion"/>
  </si>
  <si>
    <t>col.AVSC3 losslG,limit-lossyA,intra.B.eqn.ratio.colour</t>
    <phoneticPr fontId="2" type="noConversion"/>
  </si>
  <si>
    <t>col.AVSC3 losslG,limit-lossyA,intra.B.eqn.ratio.reflectance</t>
    <phoneticPr fontId="2" type="noConversion"/>
  </si>
  <si>
    <t>col.AVSC3 losslG,limit-lossyA,intra.src.attribute-precision</t>
    <phoneticPr fontId="2" type="noConversion"/>
  </si>
  <si>
    <t>col.AVSC4 losslG,losslA,intra.src.attribute-precision</t>
    <phoneticPr fontId="2" type="noConversion"/>
  </si>
  <si>
    <t>col.AVSC4 losslG,losslA,intra.A.eqn.ratio</t>
    <phoneticPr fontId="2" type="noConversion"/>
  </si>
  <si>
    <t>col.AVSC4 losslG,losslA,intra.A.eqn.ratio.geometry</t>
    <phoneticPr fontId="2" type="noConversion"/>
  </si>
  <si>
    <t>col.AVSC4 losslG,losslA,intra.A.eqn.ratio.colour</t>
    <phoneticPr fontId="2" type="noConversion"/>
  </si>
  <si>
    <t>col.AVSC4 losslG,losslA,intra.A.eqn.ratio.reflectance</t>
    <phoneticPr fontId="2" type="noConversion"/>
  </si>
  <si>
    <t>col.AVSC4 losslG,losslA,intra.B.eqn.ratio</t>
    <phoneticPr fontId="2" type="noConversion"/>
  </si>
  <si>
    <t>col.AVSC4 losslG,losslA,intra.B.eqn.ratio.geometry</t>
    <phoneticPr fontId="2" type="noConversion"/>
  </si>
  <si>
    <t>col.AVSC4 losslG,losslA,intra.B.eqn.ratio.colour</t>
    <phoneticPr fontId="2" type="noConversion"/>
  </si>
  <si>
    <t>col.AVSC4 losslG,losslA,intra.B.eqn.ratio.reflectance</t>
    <phoneticPr fontId="2" type="noConversion"/>
  </si>
  <si>
    <t>range.AVSC4 losslG,losslA,intra.basketball_player_vox11</t>
    <phoneticPr fontId="2" type="noConversion"/>
  </si>
  <si>
    <t>eqn.ratio.colour</t>
    <phoneticPr fontId="2" type="noConversion"/>
  </si>
  <si>
    <t>eqn.ratio.geometry</t>
    <phoneticPr fontId="2" type="noConversion"/>
  </si>
  <si>
    <t>eqn.ratio</t>
    <phoneticPr fontId="2" type="noConversion"/>
  </si>
  <si>
    <t>eqn.ratio.reflectance</t>
    <phoneticPr fontId="2" type="noConversion"/>
  </si>
  <si>
    <t>eqn.ratio</t>
    <phoneticPr fontId="2" type="noConversion"/>
  </si>
  <si>
    <t>col.AVSC1 limit-lossyG,lossyA,ra.src.attribute-precision</t>
  </si>
  <si>
    <t>col.AVSC1 limit-lossyG,lossyA,ra.A.eqn.ratio</t>
  </si>
  <si>
    <t>col.AVSC1 limit-lossyG,lossyA,ra.A.eqn.ratio.geometry</t>
  </si>
  <si>
    <t>col.AVSC1 limit-lossyG,lossyA,ra.A.eqn.ratio.colour</t>
  </si>
  <si>
    <t>col.AVSC1 limit-lossyG,lossyA,ra.A.eqn.ratio.reflectance</t>
  </si>
  <si>
    <t>col.AVSC1 limit-lossyG,lossyA,ra.A.dec.d1-psnr</t>
  </si>
  <si>
    <t>col.AVSC1 limit-lossyG,lossyA,ra.A.dec.d1-hpsnr</t>
  </si>
  <si>
    <t>col.AVSC1 limit-lossyG,lossyA,ra.B.eqn.ratio</t>
  </si>
  <si>
    <t>col.AVSC1 limit-lossyG,lossyA,ra.B.eqn.ratio.geometry</t>
  </si>
  <si>
    <t>col.AVSC1 limit-lossyG,lossyA,ra.B.eqn.ratio.colour</t>
  </si>
  <si>
    <t>col.AVSC1 limit-lossyG,lossyA,ra.B.eqn.ratio.reflectance</t>
  </si>
  <si>
    <t>col.AVSC1 limit-lossyG,lossyA,ra.B.dec.d1-psnr</t>
  </si>
  <si>
    <t>col.AVSC1 limit-lossyG,lossyA,ra.B.dec.d1-hpsnr</t>
  </si>
  <si>
    <t>col.AVSC1 limit-lossyG,lossyA,ra.eqn.ab.bdrate-d1-hgeomrate</t>
  </si>
  <si>
    <t>col.AVSC1 limit-lossyG,lossyA,ra.eqn.ab.bdrate-d1-h</t>
  </si>
  <si>
    <t>name.A.AVSC1 limit-lossyG,lossyA,ra</t>
  </si>
  <si>
    <t>'AVSC1 limit-lossyG,lossyA,ra'!$J$1</t>
  </si>
  <si>
    <t>name.B.AVSC1 limit-lossyG,lossyA,ra</t>
  </si>
  <si>
    <t>'AVSC1 limit-lossyG,lossyA,ra'!$AK$1</t>
  </si>
  <si>
    <t>range.AVSC1 limit-lossyG,lossyA,ra.bridge_1mm</t>
  </si>
  <si>
    <t>'AVSC1 limit-lossyG,lossyA,ra'!$A$5:$CC$10</t>
  </si>
  <si>
    <t>range.AVSC1 limit-lossyG,lossyA,ra.double_T_section_1mm</t>
  </si>
  <si>
    <t>'AVSC1 limit-lossyG,lossyA,ra'!$A$11:$CC$16</t>
  </si>
  <si>
    <t>range.AVSC1 limit-lossyG,lossyA,ra.intersection1_1mm</t>
  </si>
  <si>
    <t>'AVSC1 limit-lossyG,lossyA,ra'!$A$17:$CC$22</t>
  </si>
  <si>
    <t>range.AVSC1 limit-lossyG,lossyA,ra.intersection2_1mm</t>
  </si>
  <si>
    <t>'AVSC1 limit-lossyG,lossyA,ra'!$A$23:$CC$28</t>
  </si>
  <si>
    <t>range.AVSC1 limit-lossyG,lossyA,ra.straight_road_1mm</t>
  </si>
  <si>
    <t>'AVSC1 limit-lossyG,lossyA,ra'!$A$29:$CC$34</t>
  </si>
  <si>
    <t>range.AVSC1 limit-lossyG,lossyA,ra.T_section_1mm</t>
  </si>
  <si>
    <t>'AVSC1 limit-lossyG,lossyA,ra'!$A$35:$CC$40</t>
  </si>
  <si>
    <t>'AVSC1 limit-lossyG,lossyA,ra'!$A$41:$CC$46</t>
  </si>
  <si>
    <t>'AVSC1 limit-lossyG,lossyA,ra'!$A$47:$CC$52</t>
  </si>
  <si>
    <t>'AVSC1 limit-lossyG,lossyA,ra'!$A$53:$CC$58</t>
  </si>
  <si>
    <t>'AVSC1 limit-lossyG,lossyA,ra'!$A$59:$CC$64</t>
  </si>
  <si>
    <t>'AVSC1 limit-lossyG,lossyA,ra'!$A$65:$CC$70</t>
  </si>
  <si>
    <t>'AVSC1 limit-lossyG,lossyA,ra'!$A$71:$CC$76</t>
  </si>
  <si>
    <t>'AVSC1 limit-lossyG,lossyA,ra'!$A$77:$CC$82</t>
  </si>
  <si>
    <t>'AVSC1 limit-lossyG,lossyA,ra'!$A$83:$CC$88</t>
  </si>
  <si>
    <t>'AVSC1 limit-lossyG,lossyA,ra'!$A$89:$CC$94</t>
  </si>
  <si>
    <t>'AVSC1 limit-lossyG,lossyA,ra'!$A$95:$CC$100</t>
  </si>
  <si>
    <t>'AVSC1 limit-lossyG,lossyA,ra'!$A$101:$CC$106</t>
  </si>
  <si>
    <t>'AVSC1 limit-lossyG,lossyA,ra'!$A$107:$CC$112</t>
  </si>
  <si>
    <t>'AVSC1 limit-lossyG,lossyA,ra'!$A$113:$CC$118</t>
  </si>
  <si>
    <t>'AVSC1 limit-lossyG,lossyA,ra'!$A$119:$CC$124</t>
  </si>
  <si>
    <t>'AVSC1 limit-lossyG,lossyA,ra'!$A$125:$CC$130</t>
  </si>
  <si>
    <t>'AVSC1 limit-lossyG,lossyA,ra'!$A$131:$CC$136</t>
  </si>
  <si>
    <t>col.AVSC2 losslG,lossyA,ra.src.attribute-precision</t>
  </si>
  <si>
    <t>col.AVSC2 losslG,lossyA,ra.A.eqn.ratio</t>
  </si>
  <si>
    <t>col.AVSC2 losslG,lossyA,ra.A.eqn.ratio.geometry</t>
  </si>
  <si>
    <t>col.AVSC2 losslG,lossyA,ra.A.eqn.ratio.colour</t>
  </si>
  <si>
    <t>col.AVSC2 losslG,lossyA,ra.A.eqn.ratio.reflectance</t>
  </si>
  <si>
    <t>col.AVSC2 losslG,lossyA,ra.B.eqn.ratio</t>
  </si>
  <si>
    <t>col.AVSC2 losslG,lossyA,ra.B.eqn.ratio.geometry</t>
  </si>
  <si>
    <t>col.AVSC2 losslG,lossyA,ra.B.eqn.ratio.colour</t>
  </si>
  <si>
    <t>col.AVSC2 losslG,lossyA,ra.B.eqn.ratio.reflectance</t>
  </si>
  <si>
    <t>'AVSC2 losslG,lossyA,ra'!$J$1</t>
  </si>
  <si>
    <t>'AVSC2 losslG,lossyA,ra'!$AI$1</t>
  </si>
  <si>
    <t>range.AVSC2 losslG,lossyA,ra.bridge_1mm</t>
  </si>
  <si>
    <t>'AVSC2 losslG,lossyA,ra'!$A$5:$BU$10</t>
  </si>
  <si>
    <t>range.AVSC2 losslG,lossyA,ra.double_T_section_1mm</t>
  </si>
  <si>
    <t>'AVSC2 losslG,lossyA,ra'!$A$11:$BU$16</t>
  </si>
  <si>
    <t>range.AVSC2 losslG,lossyA,ra.intersection1_1mm</t>
  </si>
  <si>
    <t>'AVSC2 losslG,lossyA,ra'!$A$17:$BU$22</t>
  </si>
  <si>
    <t>range.AVSC2 losslG,lossyA,ra.intersection2_1mm</t>
  </si>
  <si>
    <t>'AVSC2 losslG,lossyA,ra'!$A$23:$BU$28</t>
  </si>
  <si>
    <t>range.AVSC2 losslG,lossyA,ra.straight_road_1mm</t>
  </si>
  <si>
    <t>'AVSC2 losslG,lossyA,ra'!$A$29:$BU$34</t>
  </si>
  <si>
    <t>range.AVSC2 losslG,lossyA,ra.T_section_1mm</t>
  </si>
  <si>
    <t>'AVSC2 losslG,lossyA,ra'!$A$35:$BU$40</t>
  </si>
  <si>
    <t>'AVSC2 losslG,lossyA,ra'!$A$41:$BU$46</t>
  </si>
  <si>
    <t>'AVSC2 losslG,lossyA,ra'!$A$47:$BU$52</t>
  </si>
  <si>
    <t>'AVSC2 losslG,lossyA,ra'!$A$53:$BU$58</t>
  </si>
  <si>
    <t>'AVSC2 losslG,lossyA,ra'!$A$59:$BU$64</t>
  </si>
  <si>
    <t>'AVSC2 losslG,lossyA,ra'!$A$65:$BU$70</t>
  </si>
  <si>
    <t>'AVSC2 losslG,lossyA,ra'!$A$71:$BU$76</t>
  </si>
  <si>
    <t>'AVSC2 losslG,lossyA,ra'!$A$77:$BU$82</t>
  </si>
  <si>
    <t>'AVSC2 losslG,lossyA,ra'!$A$83:$BU$88</t>
  </si>
  <si>
    <t>'AVSC2 losslG,lossyA,ra'!$A$89:$BU$94</t>
  </si>
  <si>
    <t>'AVSC2 losslG,lossyA,ra'!$A$95:$BU$100</t>
  </si>
  <si>
    <t>'AVSC2 losslG,lossyA,ra'!$A$101:$BU$106</t>
  </si>
  <si>
    <t>'AVSC2 losslG,lossyA,ra'!$A$107:$BU$112</t>
  </si>
  <si>
    <t>'AVSC2 losslG,lossyA,ra'!$A$113:$BU$118</t>
  </si>
  <si>
    <t>'AVSC2 losslG,lossyA,ra'!$A$119:$BU$124</t>
  </si>
  <si>
    <t>'AVSC2 losslG,lossyA,ra'!$A$125:$BU$130</t>
  </si>
  <si>
    <t>'AVSC2 losslG,lossyA,ra'!$A$131:$BU$136</t>
  </si>
  <si>
    <t>col.AVSC3 losslG,limit-lossyA,ra.src.attribute-precision</t>
  </si>
  <si>
    <t>col.AVSC3 losslG,limit-lossyA,ra.A.eqn.ratio</t>
  </si>
  <si>
    <t>col.AVSC3 losslG,limit-lossyA,ra.A.eqn.ratio.geometry</t>
  </si>
  <si>
    <t>col.AVSC3 losslG,limit-lossyA,ra.A.eqn.ratio.colour</t>
  </si>
  <si>
    <t>col.AVSC3 losslG,limit-lossyA,ra.A.eqn.ratio.reflectance</t>
  </si>
  <si>
    <t>col.AVSC3 losslG,limit-lossyA,ra.B.eqn.ratio</t>
  </si>
  <si>
    <t>col.AVSC3 losslG,limit-lossyA,ra.B.eqn.ratio.geometry</t>
  </si>
  <si>
    <t>col.AVSC3 losslG,limit-lossyA,ra.B.eqn.ratio.colour</t>
  </si>
  <si>
    <t>col.AVSC3 losslG,limit-lossyA,ra.B.eqn.ratio.reflectance</t>
  </si>
  <si>
    <t>'AVSC3 losslG,limit-lossyA,ra'!$J$1</t>
  </si>
  <si>
    <t>'AVSC3 losslG,limit-lossyA,ra'!$AM$1</t>
  </si>
  <si>
    <t>range.AVSC3 losslG,limit-lossyA,ra.bridge_1mm</t>
  </si>
  <si>
    <t>'AVSC3 losslG,limit-lossyA,ra'!$A$5:$CM$9</t>
  </si>
  <si>
    <t>range.AVSC3 losslG,limit-lossyA,ra.double_T_section_1mm</t>
  </si>
  <si>
    <t>'AVSC3 losslG,limit-lossyA,ra'!$A$10:$CM$14</t>
  </si>
  <si>
    <t>range.AVSC3 losslG,limit-lossyA,ra.intersection1_1mm</t>
  </si>
  <si>
    <t>'AVSC3 losslG,limit-lossyA,ra'!$A$15:$CM$19</t>
  </si>
  <si>
    <t>range.AVSC3 losslG,limit-lossyA,ra.intersection2_1mm</t>
  </si>
  <si>
    <t>'AVSC3 losslG,limit-lossyA,ra'!$A$20:$CM$24</t>
  </si>
  <si>
    <t>range.AVSC3 losslG,limit-lossyA,ra.straight_road_1mm</t>
  </si>
  <si>
    <t>'AVSC3 losslG,limit-lossyA,ra'!$A$25:$CM$29</t>
  </si>
  <si>
    <t>range.AVSC3 losslG,limit-lossyA,ra.T_section_1mm</t>
  </si>
  <si>
    <t>'AVSC3 losslG,limit-lossyA,ra'!$A$30:$CM$34</t>
  </si>
  <si>
    <t>'AVSC3 losslG,limit-lossyA,ra'!$A$35:$CM$39</t>
  </si>
  <si>
    <t>'AVSC3 losslG,limit-lossyA,ra'!$A$40:$CM$44</t>
  </si>
  <si>
    <t>'AVSC3 losslG,limit-lossyA,ra'!$A$45:$CM$49</t>
  </si>
  <si>
    <t>'AVSC3 losslG,limit-lossyA,ra'!$A$50:$CM$54</t>
  </si>
  <si>
    <t>'AVSC3 losslG,limit-lossyA,ra'!$A$55:$CM$59</t>
  </si>
  <si>
    <t>'AVSC3 losslG,limit-lossyA,ra'!$A$60:$CM$64</t>
  </si>
  <si>
    <t>'AVSC3 losslG,limit-lossyA,ra'!$A$65:$CM$69</t>
  </si>
  <si>
    <t>'AVSC3 losslG,limit-lossyA,ra'!$A$70:$CM$74</t>
  </si>
  <si>
    <t>'AVSC3 losslG,limit-lossyA,ra'!$A$75:$CM$79</t>
  </si>
  <si>
    <t>'AVSC3 losslG,limit-lossyA,ra'!$A$80:$CM$84</t>
  </si>
  <si>
    <t>'AVSC3 losslG,limit-lossyA,ra'!$A$85:$CM$89</t>
  </si>
  <si>
    <t>'AVSC3 losslG,limit-lossyA,ra'!$A$90:$CM$94</t>
  </si>
  <si>
    <t>'AVSC3 losslG,limit-lossyA,ra'!$A$95:$CM$99</t>
  </si>
  <si>
    <t>'AVSC3 losslG,limit-lossyA,ra'!$A$100:$CM$104</t>
  </si>
  <si>
    <t>'AVSC3 losslG,limit-lossyA,ra'!$A$105:$CM$109</t>
  </si>
  <si>
    <t>'AVSC3 losslG,limit-lossyA,ra'!$A$110:$CM$114</t>
  </si>
  <si>
    <t>col.AVSC4 losslG,losslA,ra.src.attribute-precision</t>
  </si>
  <si>
    <t>col.AVSC4 losslG,losslA,ra.A.eqn.ratio</t>
  </si>
  <si>
    <t>col.AVSC4 losslG,losslA,ra.A.eqn.ratio.geometry</t>
  </si>
  <si>
    <t>col.AVSC4 losslG,losslA,ra.A.eqn.ratio.colour</t>
  </si>
  <si>
    <t>col.AVSC4 losslG,losslA,ra.A.eqn.ratio.reflectance</t>
  </si>
  <si>
    <t>col.AVSC4 losslG,losslA,ra.B.eqn.ratio</t>
  </si>
  <si>
    <t>col.AVSC4 losslG,losslA,ra.B.eqn.ratio.geometry</t>
  </si>
  <si>
    <t>col.AVSC4 losslG,losslA,ra.B.eqn.ratio.colour</t>
  </si>
  <si>
    <t>col.AVSC4 losslG,losslA,ra.B.eqn.ratio.reflectance</t>
  </si>
  <si>
    <t>'AVSC4 losslG,losslA,ra'!$I$1</t>
  </si>
  <si>
    <t>'AVSC4 losslG,losslA,ra'!$AD$1</t>
  </si>
  <si>
    <t>range.AVSC4 losslG,losslA,ra.bridge_1mm</t>
  </si>
  <si>
    <t>'AVSC4 losslG,losslA,ra'!$A$5:$BF$5</t>
  </si>
  <si>
    <t>range.AVSC4 losslG,losslA,ra.double_T_section_1mm</t>
  </si>
  <si>
    <t>'AVSC4 losslG,losslA,ra'!$A$6:$BF$6</t>
  </si>
  <si>
    <t>range.AVSC4 losslG,losslA,ra.intersection1_1mm</t>
  </si>
  <si>
    <t>'AVSC4 losslG,losslA,ra'!$A$7:$BF$7</t>
  </si>
  <si>
    <t>range.AVSC4 losslG,losslA,ra.intersection2_1mm</t>
  </si>
  <si>
    <t>'AVSC4 losslG,losslA,ra'!$A$8:$BF$8</t>
  </si>
  <si>
    <t>range.AVSC4 losslG,losslA,ra.straight_road_1mm</t>
  </si>
  <si>
    <t>'AVSC4 losslG,losslA,ra'!$A$9:$BF$9</t>
  </si>
  <si>
    <t>range.AVSC4 losslG,losslA,ra.T_section_1mm</t>
  </si>
  <si>
    <t>'AVSC4 losslG,losslA,ra'!$A$10:$BF$10</t>
  </si>
  <si>
    <t>'AVSC4 losslG,losslA,ra'!$A$11:$BF$11</t>
  </si>
  <si>
    <t>'AVSC4 losslG,losslA,ra'!$A$12:$BF$12</t>
  </si>
  <si>
    <t>'AVSC4 losslG,losslA,ra'!$A$13:$BF$13</t>
  </si>
  <si>
    <t>'AVSC4 losslG,losslA,ra'!$A$14:$BF$14</t>
  </si>
  <si>
    <t>'AVSC4 losslG,losslA,ra'!$A$15:$BF$15</t>
  </si>
  <si>
    <t>'AVSC4 losslG,losslA,ra'!$A$16:$BF$16</t>
  </si>
  <si>
    <t>'AVSC4 losslG,losslA,ra'!$A$17:$BF$17</t>
  </si>
  <si>
    <t>'AVSC4 losslG,losslA,ra'!$A$18:$BF$18</t>
  </si>
  <si>
    <t>'AVSC4 losslG,losslA,ra'!$A$19:$BF$19</t>
  </si>
  <si>
    <t>'AVSC4 losslG,losslA,ra'!$A$20:$BF$20</t>
  </si>
  <si>
    <t>'AVSC4 losslG,losslA,ra'!$A$21:$BF$21</t>
  </si>
  <si>
    <t>'AVSC4 losslG,losslA,ra'!$A$22:$BF$22</t>
  </si>
  <si>
    <t>'AVSC4 losslG,losslA,ra'!$A$23:$BF$23</t>
  </si>
  <si>
    <t>'AVSC4 losslG,losslA,ra'!$A$24:$BF$24</t>
  </si>
  <si>
    <t>'AVSC4 losslG,losslA,ra'!$A$25:$BF$25</t>
  </si>
  <si>
    <t>'AVSC4 losslG,losslA,ra'!$A$26:$BF$26</t>
  </si>
  <si>
    <t>col.AVSC1 limit-lossyG,lossyA,intra.src.geometry-precision</t>
    <phoneticPr fontId="2" type="noConversion"/>
  </si>
  <si>
    <t>col.AVSC1 limit-lossyG,lossyA,intra.A.eqn.bpp.reflectance</t>
    <phoneticPr fontId="2" type="noConversion"/>
  </si>
  <si>
    <t>col.AVSC3 limit-lossyG,lossyA,intra.src.reflectance-precision</t>
    <phoneticPr fontId="2" type="noConversion"/>
  </si>
  <si>
    <t>dec.enc.match</t>
    <phoneticPr fontId="2" type="noConversion"/>
  </si>
  <si>
    <t>col.AVSC2 losslG,lossyA,intra.A.eqn.bpp.reflectance</t>
    <phoneticPr fontId="2" type="noConversion"/>
  </si>
  <si>
    <t>col.AVSC2 losslG,lossyA,intra.src.reflectance-precision</t>
    <phoneticPr fontId="2" type="noConversion"/>
  </si>
  <si>
    <t>col.AVSC2 limit-lossyG,lossyA,intra.src.colour-precision</t>
    <phoneticPr fontId="2" type="noConversion"/>
  </si>
  <si>
    <t>col.AVSC2 losslG,lossyA,intra.src.colour-precision</t>
    <phoneticPr fontId="2" type="noConversion"/>
  </si>
  <si>
    <t>col.AVSC3 losslG,limit-lossyA,intra.src.colour-precision</t>
    <phoneticPr fontId="2" type="noConversion"/>
  </si>
  <si>
    <t>col.AVSC4 losslG,losslA,intra.src.colour-precision</t>
    <phoneticPr fontId="2" type="noConversion"/>
  </si>
  <si>
    <t>col.AVSC4 losslG,losslA,intra.src.reflectance-precision</t>
    <phoneticPr fontId="2" type="noConversion"/>
  </si>
  <si>
    <t>range.AVSC1 limit-lossyG,lossyA,intra.pcl_room_vox14</t>
    <phoneticPr fontId="2" type="noConversion"/>
  </si>
  <si>
    <t>range.AVSC1 limit-lossyG,lossyA,intra.pcl_hawk_vox11</t>
    <phoneticPr fontId="2" type="noConversion"/>
  </si>
  <si>
    <t>range.AVSC1 limit-lossyG,lossyA,intra.pcl_sofa_vox10</t>
    <phoneticPr fontId="2" type="noConversion"/>
  </si>
  <si>
    <t>range.AVSC1 limit-lossyG,lossyA,intra.pcl_papi_vox11</t>
    <phoneticPr fontId="2" type="noConversion"/>
  </si>
  <si>
    <t>range.AVSC2 losslG,lossyA,intra.pcl_room_vox14</t>
    <phoneticPr fontId="2" type="noConversion"/>
  </si>
  <si>
    <t>range.AVSC2 losslG,lossyA,intra.pcl_hawk_vox11</t>
    <phoneticPr fontId="2" type="noConversion"/>
  </si>
  <si>
    <t>range.AVSC2 losslG,lossyA,intra.pcl_sofa_vox10</t>
    <phoneticPr fontId="2" type="noConversion"/>
  </si>
  <si>
    <t>range.AVSC2 losslG,lossyA,intra.pcl_papi_vox11</t>
    <phoneticPr fontId="2" type="noConversion"/>
  </si>
  <si>
    <t>range.AVSC3 losslG,limit-lossyA,intra.pcl_room_vox14</t>
    <phoneticPr fontId="2" type="noConversion"/>
  </si>
  <si>
    <t>range.AVSC3 losslG,limit-lossyA,intra.pcl_hawk_vox11</t>
    <phoneticPr fontId="2" type="noConversion"/>
  </si>
  <si>
    <t>range.AVSC3 losslG,limit-lossyA,intra.pcl_sofa_vox10</t>
    <phoneticPr fontId="2" type="noConversion"/>
  </si>
  <si>
    <t>range.AVSC3 losslG,limit-lossyA,intra.pcl_papi_vox11</t>
    <phoneticPr fontId="2" type="noConversion"/>
  </si>
  <si>
    <t>range.AVSC4 losslG,losslA,intra.pcl_room_vox14</t>
    <phoneticPr fontId="2" type="noConversion"/>
  </si>
  <si>
    <t>range.AVSC4 losslG,losslA,intra.pcl_hawk_vox11</t>
    <phoneticPr fontId="2" type="noConversion"/>
  </si>
  <si>
    <t>range.AVSC4 losslG,losslA,intra.pcl_sofa_vox10</t>
    <phoneticPr fontId="2" type="noConversion"/>
  </si>
  <si>
    <t>range.AVSC4 losslG,losslA,intra.pcl_papi_vox11</t>
    <phoneticPr fontId="2" type="noConversion"/>
  </si>
  <si>
    <t>Geom Encoder runtime [s]</t>
    <phoneticPr fontId="2" type="noConversion"/>
  </si>
  <si>
    <t>Geom Decoder runtime [s]</t>
    <phoneticPr fontId="2" type="noConversion"/>
  </si>
  <si>
    <t>A.geo.enc.utime</t>
    <phoneticPr fontId="2" type="noConversion"/>
  </si>
  <si>
    <t>A.geo.dec.utime</t>
    <phoneticPr fontId="2" type="noConversion"/>
  </si>
  <si>
    <t>A.col.enc.utime</t>
    <phoneticPr fontId="2" type="noConversion"/>
  </si>
  <si>
    <t>A.col.dec.utime</t>
    <phoneticPr fontId="2" type="noConversion"/>
  </si>
  <si>
    <t>B.geo.enc.utime</t>
    <phoneticPr fontId="2" type="noConversion"/>
  </si>
  <si>
    <t>B.geo.dec.utime</t>
    <phoneticPr fontId="2" type="noConversion"/>
  </si>
  <si>
    <t>B.ref.enc.utime</t>
    <phoneticPr fontId="2" type="noConversion"/>
  </si>
  <si>
    <t>B.ref.dec.utime</t>
    <phoneticPr fontId="2" type="noConversion"/>
  </si>
  <si>
    <t>col.AVSC1 limit-lossyG,lossyA,intra.A.geo.enc.utime</t>
    <phoneticPr fontId="2" type="noConversion"/>
  </si>
  <si>
    <t>col.AVSC1 limit-lossyG,lossyA,intra.A.geo.dec.utime</t>
    <phoneticPr fontId="2" type="noConversion"/>
  </si>
  <si>
    <t>col.AVSC1 limit-lossyG,lossyA,intra.A.col.enc.utime</t>
    <phoneticPr fontId="2" type="noConversion"/>
  </si>
  <si>
    <t>col.AVSC1 limit-lossyG,lossyA,intra.A.col.dec.utime</t>
    <phoneticPr fontId="2" type="noConversion"/>
  </si>
  <si>
    <t>col.AVSC1 limit-lossyG,lossyA,intra.A.ref.enc.utime</t>
    <phoneticPr fontId="2" type="noConversion"/>
  </si>
  <si>
    <t>col.AVSC1 limit-lossyG,lossyA,intra.A.ref.dec.utime</t>
    <phoneticPr fontId="2" type="noConversion"/>
  </si>
  <si>
    <t>col.AVSC1 limit-lossyG,lossyA,intra.B.geo.enc.utime</t>
    <phoneticPr fontId="2" type="noConversion"/>
  </si>
  <si>
    <t>col.AVSC1 limit-lossyG,lossyA,intra.B.geo.dec.utime</t>
    <phoneticPr fontId="2" type="noConversion"/>
  </si>
  <si>
    <t>col.AVSC1 limit-lossyG,lossyA,intra.B.col.enc.utime</t>
    <phoneticPr fontId="2" type="noConversion"/>
  </si>
  <si>
    <t>col.AVSC1 limit-lossyG,lossyA,intra.B.col.dec.utime</t>
    <phoneticPr fontId="2" type="noConversion"/>
  </si>
  <si>
    <t>col.AVSC1 limit-lossyG,lossyA,intra.B.ref.enc.utime</t>
    <phoneticPr fontId="2" type="noConversion"/>
  </si>
  <si>
    <t>col.AVSC1 limit-lossyG,lossyA,intra.B.ref.dec.utime</t>
    <phoneticPr fontId="2" type="noConversion"/>
  </si>
  <si>
    <t>'AVSC1 limit-lossyG,lossyA,intra'!$AS$1</t>
    <phoneticPr fontId="2" type="noConversion"/>
  </si>
  <si>
    <t>'AVSC1 limit-lossyG,lossyA,intra'!$L$1</t>
    <phoneticPr fontId="2" type="noConversion"/>
  </si>
  <si>
    <t>'AVSC1 limit-lossyG,lossyA,intra'!$A$5:$CY$10</t>
    <phoneticPr fontId="2" type="noConversion"/>
  </si>
  <si>
    <t>'AVSC1 limit-lossyG,lossyA,intra'!$A$11:$CY$16</t>
    <phoneticPr fontId="2" type="noConversion"/>
  </si>
  <si>
    <t>'AVSC1 limit-lossyG,lossyA,intra'!$A$17:$CY$22</t>
    <phoneticPr fontId="2" type="noConversion"/>
  </si>
  <si>
    <t>'AVSC1 limit-lossyG,lossyA,intra'!$A$23:$CY$28</t>
  </si>
  <si>
    <t>'AVSC1 limit-lossyG,lossyA,intra'!$A$29:$CY$34</t>
  </si>
  <si>
    <t>'AVSC1 limit-lossyG,lossyA,intra'!$A$35:$CY$40</t>
  </si>
  <si>
    <t>'AVSC1 limit-lossyG,lossyA,intra'!$A$41:$CY$46</t>
  </si>
  <si>
    <t>'AVSC1 limit-lossyG,lossyA,intra'!$A$47:$CY$52</t>
  </si>
  <si>
    <t>'AVSC1 limit-lossyG,lossyA,intra'!$A$53:$CY$58</t>
  </si>
  <si>
    <t>'AVSC1 limit-lossyG,lossyA,intra'!$A$59:$CY$64</t>
  </si>
  <si>
    <t>'AVSC1 limit-lossyG,lossyA,intra'!$A$65:$CY$70</t>
  </si>
  <si>
    <t>'AVSC1 limit-lossyG,lossyA,intra'!$A$71:$CY$76</t>
  </si>
  <si>
    <t>'AVSC1 limit-lossyG,lossyA,intra'!$A$77:$CY$82</t>
  </si>
  <si>
    <t>'AVSC1 limit-lossyG,lossyA,intra'!$A$83:$CY$88</t>
  </si>
  <si>
    <t>'AVSC1 limit-lossyG,lossyA,intra'!$A$89:$CY$94</t>
  </si>
  <si>
    <t>'AVSC1 limit-lossyG,lossyA,intra'!$A$95:$CY$100</t>
  </si>
  <si>
    <t>'AVSC1 limit-lossyG,lossyA,intra'!$A$101:$CY$106</t>
  </si>
  <si>
    <t>'AVSC1 limit-lossyG,lossyA,intra'!$A$107:$CY$112</t>
  </si>
  <si>
    <t>'AVSC1 limit-lossyG,lossyA,intra'!$A$113:$CY$118</t>
  </si>
  <si>
    <t>'AVSC1 limit-lossyG,lossyA,intra'!$A$119:$CY$124</t>
  </si>
  <si>
    <t>'AVSC1 limit-lossyG,lossyA,intra'!$A$125:$CY$130</t>
  </si>
  <si>
    <t>'AVSC1 limit-lossyG,lossyA,intra'!$A$131:$CY$136</t>
  </si>
  <si>
    <t>'AVSC1 limit-lossyG,lossyA,intra'!$A$137:$CY$142</t>
  </si>
  <si>
    <t>'AVSC1 limit-lossyG,lossyA,intra'!$A$143:$CY$148</t>
  </si>
  <si>
    <t>'AVSC1 limit-lossyG,lossyA,intra'!$A$149:$CY$154</t>
  </si>
  <si>
    <t>'AVSC1 limit-lossyG,lossyA,intra'!$A$155:$CY$160</t>
  </si>
  <si>
    <t>col.AVSC2 losslG,lossyA,intra.A.geo-enc.utime</t>
    <phoneticPr fontId="2" type="noConversion"/>
  </si>
  <si>
    <t>col.AVSC2 losslG,lossyA,intra.A.geo-dec.utime</t>
    <phoneticPr fontId="2" type="noConversion"/>
  </si>
  <si>
    <t>col.AVSC2 losslG,lossyA,intra.A.col.enc.utime</t>
    <phoneticPr fontId="2" type="noConversion"/>
  </si>
  <si>
    <t>col.AVSC2 losslG,lossyA,intra.A.col.dec.utime</t>
    <phoneticPr fontId="2" type="noConversion"/>
  </si>
  <si>
    <t>col.AVSC2 losslG,lossyA,intra.A.ref.enc.utime</t>
    <phoneticPr fontId="2" type="noConversion"/>
  </si>
  <si>
    <t>col.AVSC2 losslG,lossyA,intra.A.ref.dec.utime</t>
    <phoneticPr fontId="2" type="noConversion"/>
  </si>
  <si>
    <t>col.AVSC2 losslG,lossyA,intra.B.geo-enc.utime</t>
    <phoneticPr fontId="2" type="noConversion"/>
  </si>
  <si>
    <t>col.AVSC2 losslG,lossyA,intra.B.geo-dec.utime</t>
    <phoneticPr fontId="2" type="noConversion"/>
  </si>
  <si>
    <t>col.AVSC2 losslG,lossyA,intra.B.col.enc.utime</t>
    <phoneticPr fontId="2" type="noConversion"/>
  </si>
  <si>
    <t>col.AVSC2 losslG,lossyA,intra.B.col.dec.utime</t>
    <phoneticPr fontId="2" type="noConversion"/>
  </si>
  <si>
    <t>col.AVSC2 losslG,lossyA,intra.B.ref.enc.utime</t>
    <phoneticPr fontId="2" type="noConversion"/>
  </si>
  <si>
    <t>col.AVSC2 losslG,lossyA,intra.B.ref.dec.utime</t>
    <phoneticPr fontId="2" type="noConversion"/>
  </si>
  <si>
    <t>'AVSC2 losslG,lossyA,intra'!$L$1</t>
    <phoneticPr fontId="2" type="noConversion"/>
  </si>
  <si>
    <t>'AVSC2 losslG,lossyA,intra'!$AQ$1</t>
    <phoneticPr fontId="2" type="noConversion"/>
  </si>
  <si>
    <t>'AVSC2 losslG,lossyA,intra'!$A$5:$CQ$10</t>
  </si>
  <si>
    <t>'AVSC2 losslG,lossyA,intra'!$A$11:$CQ$16</t>
  </si>
  <si>
    <t>'AVSC2 losslG,lossyA,intra'!$A$17:$CQ$22</t>
  </si>
  <si>
    <t>'AVSC2 losslG,lossyA,intra'!$A$23:$CQ$28</t>
  </si>
  <si>
    <t>'AVSC2 losslG,lossyA,intra'!$A$29:$CQ$34</t>
  </si>
  <si>
    <t>'AVSC2 losslG,lossyA,intra'!$A$35:$CQ$40</t>
  </si>
  <si>
    <t>'AVSC2 losslG,lossyA,intra'!$A$41:$CQ$46</t>
  </si>
  <si>
    <t>'AVSC2 losslG,lossyA,intra'!$A$47:$CQ$52</t>
  </si>
  <si>
    <t>'AVSC2 losslG,lossyA,intra'!$A$53:$CQ$58</t>
  </si>
  <si>
    <t>'AVSC2 losslG,lossyA,intra'!$A$59:$CQ$64</t>
  </si>
  <si>
    <t>'AVSC2 losslG,lossyA,intra'!$A$65:$CQ$70</t>
  </si>
  <si>
    <t>'AVSC2 losslG,lossyA,intra'!$A$71:$CQ$76</t>
  </si>
  <si>
    <t>'AVSC2 losslG,lossyA,intra'!$A$77:$CQ$82</t>
  </si>
  <si>
    <t>col.AVSC3 losslG,limit-lossyA,intra.A.geo.enc.utime</t>
    <phoneticPr fontId="2" type="noConversion"/>
  </si>
  <si>
    <t>col.AVSC3 losslG,limit-lossyA,intra.A.geo.dec.utime</t>
    <phoneticPr fontId="2" type="noConversion"/>
  </si>
  <si>
    <t>col.AVSC3 losslG,limit-lossyA,intra.A.col.enc.utime</t>
    <phoneticPr fontId="2" type="noConversion"/>
  </si>
  <si>
    <t>col.AVSC3 losslG,limit-lossyA,intra.A.col.dec.utime</t>
    <phoneticPr fontId="2" type="noConversion"/>
  </si>
  <si>
    <t>col.AVSC3 losslG,limit-lossyA,intra.A.ref.enc.utime</t>
    <phoneticPr fontId="2" type="noConversion"/>
  </si>
  <si>
    <t>col.AVSC3 losslG,limit-lossyA,intra.A.ref.dec.utime</t>
    <phoneticPr fontId="2" type="noConversion"/>
  </si>
  <si>
    <t>col.AVSC3 losslG,limit-lossyA,intra.B.geo.enc.utime</t>
    <phoneticPr fontId="2" type="noConversion"/>
  </si>
  <si>
    <t>col.AVSC3 losslG,limit-lossyA,intra.B.geo.dec.utime</t>
    <phoneticPr fontId="2" type="noConversion"/>
  </si>
  <si>
    <t>col.AVSC3 losslG,limit-lossyA,intra.B.col.enc.utime</t>
    <phoneticPr fontId="2" type="noConversion"/>
  </si>
  <si>
    <t>col.AVSC3 losslG,limit-lossyA,intra.B.col.dec.utime</t>
    <phoneticPr fontId="2" type="noConversion"/>
  </si>
  <si>
    <t>col.AVSC3 losslG,limit-lossyA,intra.B.ref.enc.utime</t>
    <phoneticPr fontId="2" type="noConversion"/>
  </si>
  <si>
    <t>col.AVSC3 losslG,limit-lossyA,intra.B.ref.dec.utime</t>
    <phoneticPr fontId="2" type="noConversion"/>
  </si>
  <si>
    <t>col.AVSC3 losslG,limit-lossyA,intra.eqn.ab.ratio-enc-time</t>
    <phoneticPr fontId="2" type="noConversion"/>
  </si>
  <si>
    <t>col.AVSC3 losslG,limit-lossyA,intra.eqn.ab.ratio-dec-time</t>
    <phoneticPr fontId="2" type="noConversion"/>
  </si>
  <si>
    <t>col.AVSC3 losslG,limit-lossyA,intra.eqn.ab.ratio-geo-enc-time</t>
    <phoneticPr fontId="2" type="noConversion"/>
  </si>
  <si>
    <t>col.AVSC3 losslG,limit-lossyA,intra.eqn.ab.ratio-geo-dec-time</t>
    <phoneticPr fontId="2" type="noConversion"/>
  </si>
  <si>
    <t>col.AVSC3 losslG,limit-lossyA,intra.eqn.ab.ratio-col-enc-time</t>
    <phoneticPr fontId="2" type="noConversion"/>
  </si>
  <si>
    <t>col.AVSC3 losslG,limit-lossyA,intra.eqn.ab.ratio-col-dec-time</t>
    <phoneticPr fontId="2" type="noConversion"/>
  </si>
  <si>
    <t>col.AVSC3 losslG,limit-lossyA,intra.eqn.ab.ratio-ref-enc-time</t>
    <phoneticPr fontId="2" type="noConversion"/>
  </si>
  <si>
    <t>col.AVSC3 losslG,limit-lossyA,intra.eqn.ab.ratio-ref-dec-time</t>
    <phoneticPr fontId="2" type="noConversion"/>
  </si>
  <si>
    <t>'AVSC3 losslG,limit-lossyA,intra'!$L$1</t>
    <phoneticPr fontId="2" type="noConversion"/>
  </si>
  <si>
    <t>'AVSC3 losslG,limit-lossyA,intra'!$AU$1</t>
    <phoneticPr fontId="2" type="noConversion"/>
  </si>
  <si>
    <t>'AVSC3 losslG,limit-lossyA,intra'!$A$5:$DI$9</t>
  </si>
  <si>
    <t>'AVSC3 losslG,limit-lossyA,intra'!$A$10:$DI$14</t>
  </si>
  <si>
    <t>'AVSC3 losslG,limit-lossyA,intra'!$A$15:$DI$19</t>
  </si>
  <si>
    <t>'AVSC3 losslG,limit-lossyA,intra'!$A$20:$DI$24</t>
  </si>
  <si>
    <t>'AVSC3 losslG,limit-lossyA,intra'!$A$25:$DI$29</t>
  </si>
  <si>
    <t>'AVSC3 losslG,limit-lossyA,intra'!$A$30:$DI$34</t>
  </si>
  <si>
    <t>'AVSC3 losslG,limit-lossyA,intra'!$A$35:$DI$39</t>
  </si>
  <si>
    <t>'AVSC3 losslG,limit-lossyA,intra'!$A$40:$DI$44</t>
  </si>
  <si>
    <t>'AVSC3 losslG,limit-lossyA,intra'!$A$45:$DI$49</t>
  </si>
  <si>
    <t>'AVSC3 losslG,limit-lossyA,intra'!$A$50:$DI$54</t>
  </si>
  <si>
    <t>'AVSC3 losslG,limit-lossyA,intra'!$A$55:$DI$59</t>
  </si>
  <si>
    <t>'AVSC3 losslG,limit-lossyA,intra'!$A$60:$DI$64</t>
  </si>
  <si>
    <t>'AVSC3 losslG,limit-lossyA,intra'!$A$65:$DI$69</t>
  </si>
  <si>
    <t>'AVSC3 losslG,limit-lossyA,intra'!$A$70:$DI$74</t>
  </si>
  <si>
    <t>'AVSC3 losslG,limit-lossyA,intra'!$A$75:$DI$79</t>
  </si>
  <si>
    <t>'AVSC3 losslG,limit-lossyA,intra'!$A$80:$DI$84</t>
  </si>
  <si>
    <t>'AVSC3 losslG,limit-lossyA,intra'!$A$85:$DI$89</t>
  </si>
  <si>
    <t>'AVSC3 losslG,limit-lossyA,intra'!$A$90:$DI$94</t>
  </si>
  <si>
    <t>'AVSC3 losslG,limit-lossyA,intra'!$A$95:$DI$99</t>
  </si>
  <si>
    <t>'AVSC3 losslG,limit-lossyA,intra'!$A$100:$DI$104</t>
  </si>
  <si>
    <t>'AVSC3 losslG,limit-lossyA,intra'!$A$105:$DI$109</t>
  </si>
  <si>
    <t>'AVSC3 losslG,limit-lossyA,intra'!$A$110:$DI$114</t>
  </si>
  <si>
    <t>'AVSC3 losslG,limit-lossyA,intra'!$A$115:$DI$119</t>
  </si>
  <si>
    <t>'AVSC3 losslG,limit-lossyA,intra'!$A$120:$DI$124</t>
  </si>
  <si>
    <t>'AVSC3 losslG,limit-lossyA,intra'!$A$125:$DI$129</t>
  </si>
  <si>
    <t>'AVSC3 losslG,limit-lossyA,intra'!$A$130:$DI$134</t>
  </si>
  <si>
    <t>col.AVSC4 losslG,losslA,intra.A.geo.enc.utime</t>
    <phoneticPr fontId="2" type="noConversion"/>
  </si>
  <si>
    <t>col.AVSC4 losslG,losslA,intra.A.geo.dec.utime</t>
    <phoneticPr fontId="2" type="noConversion"/>
  </si>
  <si>
    <t>col.AVSC4 losslG,losslA,intra.A.col.enc.utime</t>
    <phoneticPr fontId="2" type="noConversion"/>
  </si>
  <si>
    <t>col.AVSC4 losslG,losslA,intra.A.col.dec.utime</t>
    <phoneticPr fontId="2" type="noConversion"/>
  </si>
  <si>
    <t>col.AVSC4 losslG,losslA,intra.A.ref.enc.utime</t>
    <phoneticPr fontId="2" type="noConversion"/>
  </si>
  <si>
    <t>col.AVSC4 losslG,losslA,intra.A.ref.dec.utime</t>
    <phoneticPr fontId="2" type="noConversion"/>
  </si>
  <si>
    <t>col.AVSC4 losslG,losslA,intra.B.geo.enc.utime</t>
    <phoneticPr fontId="2" type="noConversion"/>
  </si>
  <si>
    <t>col.AVSC4 losslG,losslA,intra.B.geo.dec.utime</t>
    <phoneticPr fontId="2" type="noConversion"/>
  </si>
  <si>
    <t>col.AVSC4 losslG,losslA,intra.B.col.enc.utime</t>
    <phoneticPr fontId="2" type="noConversion"/>
  </si>
  <si>
    <t>col.AVSC4 losslG,losslA,intra.B.col.dec.utime</t>
    <phoneticPr fontId="2" type="noConversion"/>
  </si>
  <si>
    <t>col.AVSC4 losslG,losslA,intra.B.ref.enc.utime</t>
    <phoneticPr fontId="2" type="noConversion"/>
  </si>
  <si>
    <t>col.AVSC4 losslG,losslA,intra.B.ref.dec.utime</t>
    <phoneticPr fontId="2" type="noConversion"/>
  </si>
  <si>
    <t>col.AVSC4 losslG,losslA,intra.eqn.ab.ratio-enc-time</t>
    <phoneticPr fontId="2" type="noConversion"/>
  </si>
  <si>
    <t>col.AVSC4 losslG,losslA,intra.eqn.ab.ratio-dec-time</t>
    <phoneticPr fontId="2" type="noConversion"/>
  </si>
  <si>
    <t>col.AVSC4 losslG,losslA,intra.eqn.ab.ratio-geo-enc-time</t>
    <phoneticPr fontId="2" type="noConversion"/>
  </si>
  <si>
    <t>col.AVSC4 losslG,losslA,intra.eqn.ab.ratio-geo-dec-time</t>
    <phoneticPr fontId="2" type="noConversion"/>
  </si>
  <si>
    <t>col.AVSC4 losslG,losslA,intra.eqn.ab.ratio-col-enc-time</t>
    <phoneticPr fontId="2" type="noConversion"/>
  </si>
  <si>
    <t>col.AVSC4 losslG,losslA,intra.eqn.ab.ratio-col-dec-time</t>
    <phoneticPr fontId="2" type="noConversion"/>
  </si>
  <si>
    <t>col.AVSC4 losslG,losslA,intra.eqn.ab.ratio-ref-enc-time</t>
    <phoneticPr fontId="2" type="noConversion"/>
  </si>
  <si>
    <t>col.AVSC4 losslG,losslA,intra.eqn.ab.ratio-ref-dec-time</t>
    <phoneticPr fontId="2" type="noConversion"/>
  </si>
  <si>
    <t>'AVSC4 losslG,losslA,intra'!$K$1</t>
    <phoneticPr fontId="2" type="noConversion"/>
  </si>
  <si>
    <t>'AVSC4 losslG,losslA,intra'!$AL$1</t>
    <phoneticPr fontId="2" type="noConversion"/>
  </si>
  <si>
    <t>'AVSC4 losslG,losslA,intra'!$A$5:$CB$5</t>
  </si>
  <si>
    <t>'AVSC4 losslG,losslA,intra'!$A$6:$CB$6</t>
  </si>
  <si>
    <t>'AVSC4 losslG,losslA,intra'!$A$7:$CB$7</t>
  </si>
  <si>
    <t>'AVSC4 losslG,losslA,intra'!$A$8:$CB$8</t>
  </si>
  <si>
    <t>'AVSC4 losslG,losslA,intra'!$A$9:$CB$9</t>
  </si>
  <si>
    <t>'AVSC4 losslG,losslA,intra'!$A$10:$CB$10</t>
  </si>
  <si>
    <t>'AVSC4 losslG,losslA,intra'!$A$11:$CB$11</t>
  </si>
  <si>
    <t>'AVSC4 losslG,losslA,intra'!$A$12:$CB$12</t>
  </si>
  <si>
    <t>'AVSC4 losslG,losslA,intra'!$A$13:$CB$13</t>
  </si>
  <si>
    <t>'AVSC4 losslG,losslA,intra'!$A$14:$CB$14</t>
  </si>
  <si>
    <t>'AVSC4 losslG,losslA,intra'!$A$15:$CB$15</t>
  </si>
  <si>
    <t>'AVSC4 losslG,losslA,intra'!$A$16:$CB$16</t>
  </si>
  <si>
    <t>'AVSC4 losslG,losslA,intra'!$A$17:$CB$17</t>
  </si>
  <si>
    <t>'AVSC4 losslG,losslA,intra'!$A$18:$CB$18</t>
  </si>
  <si>
    <t>'AVSC4 losslG,losslA,intra'!$A$19:$CB$19</t>
  </si>
  <si>
    <t>'AVSC4 losslG,losslA,intra'!$A$20:$CB$20</t>
  </si>
  <si>
    <t>'AVSC4 losslG,losslA,intra'!$A$21:$CB$21</t>
  </si>
  <si>
    <t>'AVSC4 losslG,losslA,intra'!$A$22:$CB$22</t>
  </si>
  <si>
    <t>'AVSC4 losslG,losslA,intra'!$A$23:$CB$23</t>
  </si>
  <si>
    <t>'AVSC4 losslG,losslA,intra'!$A$24:$CB$24</t>
  </si>
  <si>
    <t>'AVSC4 losslG,losslA,intra'!$A$25:$CB$25</t>
  </si>
  <si>
    <t>'AVSC4 losslG,losslA,intra'!$A$26:$CB$26</t>
  </si>
  <si>
    <t>'AVSC4 losslG,losslA,intra'!$A$27:$CB$27</t>
  </si>
  <si>
    <t>'AVSC4 losslG,losslA,intra'!$A$28:$CB$28</t>
  </si>
  <si>
    <t>'AVSC4 losslG,losslA,intra'!$A$29:$CB$29</t>
  </si>
  <si>
    <t>'AVSC4 losslG,losslA,intra'!$A$30:$CB$30</t>
  </si>
  <si>
    <t>range.AVSC1 limit-lossyG,lossyA,intra.apollo_vox14</t>
    <phoneticPr fontId="2" type="noConversion"/>
  </si>
  <si>
    <t>range.AVSC1 limit-lossyG,lossyA,intra.bicycle_vox13</t>
    <phoneticPr fontId="2" type="noConversion"/>
  </si>
  <si>
    <t>range.AVSC1 limit-lossyG,lossyA,intra.building_vox13</t>
    <phoneticPr fontId="2" type="noConversion"/>
  </si>
  <si>
    <t>range.AVSC1 limit-lossyG,lossyA,intra.caiman_vox15</t>
    <phoneticPr fontId="2" type="noConversion"/>
  </si>
  <si>
    <t>range.AVSC1 limit-lossyG,lossyA,intra.candlestick_vox13</t>
    <phoneticPr fontId="2" type="noConversion"/>
  </si>
  <si>
    <t>range.AVSC1 limit-lossyG,lossyA,intra.casket_vox14</t>
    <phoneticPr fontId="2" type="noConversion"/>
  </si>
  <si>
    <t>range.AVSC1 limit-lossyG,lossyA,intra.chair_vox12</t>
    <phoneticPr fontId="2" type="noConversion"/>
  </si>
  <si>
    <t>range.AVSC1 limit-lossyG,lossyA,intra.clock1_vox13</t>
    <phoneticPr fontId="2" type="noConversion"/>
  </si>
  <si>
    <t>range.AVSC1 limit-lossyG,lossyA,intra.machine_vox12</t>
    <phoneticPr fontId="2" type="noConversion"/>
  </si>
  <si>
    <t>range.AVSC1 limit-lossyG,lossyA,intra.mosquito_vox14</t>
    <phoneticPr fontId="2" type="noConversion"/>
  </si>
  <si>
    <t>range.AVSC1 limit-lossyG,lossyA,intra.puppet_vox15</t>
    <phoneticPr fontId="2" type="noConversion"/>
  </si>
  <si>
    <t>range.AVSC1 limit-lossyG,lossyA,intra.shoes_vox13</t>
    <phoneticPr fontId="2" type="noConversion"/>
  </si>
  <si>
    <t>range.AVSC1 limit-lossyG,lossyA,intra.vessel4_vox12</t>
    <phoneticPr fontId="2" type="noConversion"/>
  </si>
  <si>
    <t>range.AVSC1 limit-lossyG,lossyA,intra.violin1_vox14</t>
    <phoneticPr fontId="2" type="noConversion"/>
  </si>
  <si>
    <t>'AVSC1 limit-lossyG,lossyA,intra'!$A$161:$CY$166</t>
    <phoneticPr fontId="2" type="noConversion"/>
  </si>
  <si>
    <t>'AVSC1 limit-lossyG,lossyA,intra'!$A$167:$CY$172</t>
    <phoneticPr fontId="2" type="noConversion"/>
  </si>
  <si>
    <t>'AVSC1 limit-lossyG,lossyA,intra'!$A$173:$CY$178</t>
    <phoneticPr fontId="2" type="noConversion"/>
  </si>
  <si>
    <t>'AVSC1 limit-lossyG,lossyA,intra'!$A$179:$CY$184</t>
    <phoneticPr fontId="2" type="noConversion"/>
  </si>
  <si>
    <t>'AVSC1 limit-lossyG,lossyA,intra'!$A$185:$CY$190</t>
    <phoneticPr fontId="2" type="noConversion"/>
  </si>
  <si>
    <t>'AVSC1 limit-lossyG,lossyA,intra'!$A$191:$CY$196</t>
    <phoneticPr fontId="2" type="noConversion"/>
  </si>
  <si>
    <t>'AVSC1 limit-lossyG,lossyA,intra'!$A$197:$CY$202</t>
    <phoneticPr fontId="2" type="noConversion"/>
  </si>
  <si>
    <t>'AVSC1 limit-lossyG,lossyA,intra'!$A$203:$CY$208</t>
    <phoneticPr fontId="2" type="noConversion"/>
  </si>
  <si>
    <t>'AVSC1 limit-lossyG,lossyA,intra'!$A$209:$CY$214</t>
    <phoneticPr fontId="2" type="noConversion"/>
  </si>
  <si>
    <t>'AVSC1 limit-lossyG,lossyA,intra'!$A$215:$CY$220</t>
    <phoneticPr fontId="2" type="noConversion"/>
  </si>
  <si>
    <t>'AVSC1 limit-lossyG,lossyA,intra'!$A$221:$CY$226</t>
    <phoneticPr fontId="2" type="noConversion"/>
  </si>
  <si>
    <t>'AVSC1 limit-lossyG,lossyA,intra'!$A$227:$CY$232</t>
    <phoneticPr fontId="2" type="noConversion"/>
  </si>
  <si>
    <t>'AVSC1 limit-lossyG,lossyA,intra'!$A$233:$CY$238</t>
    <phoneticPr fontId="2" type="noConversion"/>
  </si>
  <si>
    <t>'AVSC1 limit-lossyG,lossyA,intra'!$A$239:$CY$244</t>
    <phoneticPr fontId="2" type="noConversion"/>
  </si>
  <si>
    <t>range.AVSC2 losslG,lossyA,intra.apollo_vox14</t>
    <phoneticPr fontId="2" type="noConversion"/>
  </si>
  <si>
    <t>range.AVSC2 losslG,lossyA,intra.bicycle_vox13</t>
    <phoneticPr fontId="2" type="noConversion"/>
  </si>
  <si>
    <t>range.AVSC2 losslG,lossyA,intra.building_vox13</t>
    <phoneticPr fontId="2" type="noConversion"/>
  </si>
  <si>
    <t>range.AVSC2 losslG,lossyA,intra.caiman_vox15</t>
    <phoneticPr fontId="2" type="noConversion"/>
  </si>
  <si>
    <t>range.AVSC2 losslG,lossyA,intra.candlestick_vox13</t>
    <phoneticPr fontId="2" type="noConversion"/>
  </si>
  <si>
    <t>range.AVSC2 losslG,lossyA,intra.casket_vox14</t>
    <phoneticPr fontId="2" type="noConversion"/>
  </si>
  <si>
    <t>range.AVSC2 losslG,lossyA,intra.chair_vox12</t>
    <phoneticPr fontId="2" type="noConversion"/>
  </si>
  <si>
    <t>range.AVSC2 losslG,lossyA,intra.clock1_vox13</t>
    <phoneticPr fontId="2" type="noConversion"/>
  </si>
  <si>
    <t>range.AVSC2 losslG,lossyA,intra.machine_vox12</t>
    <phoneticPr fontId="2" type="noConversion"/>
  </si>
  <si>
    <t>range.AVSC2 losslG,lossyA,intra.mosquito_vox14</t>
    <phoneticPr fontId="2" type="noConversion"/>
  </si>
  <si>
    <t>range.AVSC2 losslG,lossyA,intra.puppet_vox15</t>
    <phoneticPr fontId="2" type="noConversion"/>
  </si>
  <si>
    <t>range.AVSC2 losslG,lossyA,intra.shoes_vox13</t>
    <phoneticPr fontId="2" type="noConversion"/>
  </si>
  <si>
    <t>range.AVSC2 losslG,lossyA,intra.vessel4_vox12</t>
    <phoneticPr fontId="2" type="noConversion"/>
  </si>
  <si>
    <t>range.AVSC2 losslG,lossyA,intra.violin1_vox14</t>
    <phoneticPr fontId="2" type="noConversion"/>
  </si>
  <si>
    <t>'AVSC2 losslG,lossyA,intra'!$A$83:$CQ$88</t>
    <phoneticPr fontId="2" type="noConversion"/>
  </si>
  <si>
    <t>'AVSC2 losslG,lossyA,intra'!$A$89:$CQ$94</t>
    <phoneticPr fontId="2" type="noConversion"/>
  </si>
  <si>
    <t>'AVSC2 losslG,lossyA,intra'!$A$95:$CQ$100</t>
    <phoneticPr fontId="2" type="noConversion"/>
  </si>
  <si>
    <t>'AVSC2 losslG,lossyA,intra'!$A$101:$CQ$106</t>
    <phoneticPr fontId="2" type="noConversion"/>
  </si>
  <si>
    <t>'AVSC2 losslG,lossyA,intra'!$A$107:$CQ$112</t>
    <phoneticPr fontId="2" type="noConversion"/>
  </si>
  <si>
    <t>'AVSC2 losslG,lossyA,intra'!$A$113:$CQ$118</t>
    <phoneticPr fontId="2" type="noConversion"/>
  </si>
  <si>
    <t>'AVSC2 losslG,lossyA,intra'!$A$119:$CQ$124</t>
    <phoneticPr fontId="2" type="noConversion"/>
  </si>
  <si>
    <t>'AVSC2 losslG,lossyA,intra'!$A$125:$CQ$130</t>
    <phoneticPr fontId="2" type="noConversion"/>
  </si>
  <si>
    <t>'AVSC2 losslG,lossyA,intra'!$A$131:$CQ$136</t>
    <phoneticPr fontId="2" type="noConversion"/>
  </si>
  <si>
    <t>'AVSC2 losslG,lossyA,intra'!$A$137:$CQ$142</t>
    <phoneticPr fontId="2" type="noConversion"/>
  </si>
  <si>
    <t>'AVSC2 losslG,lossyA,intra'!$A$143:$CQ$148</t>
    <phoneticPr fontId="2" type="noConversion"/>
  </si>
  <si>
    <t>'AVSC2 losslG,lossyA,intra'!$A$149:$CQ$154</t>
    <phoneticPr fontId="2" type="noConversion"/>
  </si>
  <si>
    <t>'AVSC2 losslG,lossyA,intra'!$A$155:$CQ$160</t>
    <phoneticPr fontId="2" type="noConversion"/>
  </si>
  <si>
    <t>'AVSC2 losslG,lossyA,intra'!$A$161:$CQ$166</t>
    <phoneticPr fontId="2" type="noConversion"/>
  </si>
  <si>
    <t>'AVSC2 losslG,lossyA,intra'!$A$167:$CQ$172</t>
    <phoneticPr fontId="2" type="noConversion"/>
  </si>
  <si>
    <t>'AVSC2 losslG,lossyA,intra'!$A$173:$CQ$178</t>
    <phoneticPr fontId="2" type="noConversion"/>
  </si>
  <si>
    <t>'AVSC2 losslG,lossyA,intra'!$A$179:$CQ$184</t>
    <phoneticPr fontId="2" type="noConversion"/>
  </si>
  <si>
    <t>'AVSC2 losslG,lossyA,intra'!$A$185:$CQ$190</t>
    <phoneticPr fontId="2" type="noConversion"/>
  </si>
  <si>
    <t>'AVSC2 losslG,lossyA,intra'!$A$191:$CQ$196</t>
    <phoneticPr fontId="2" type="noConversion"/>
  </si>
  <si>
    <t>'AVSC2 losslG,lossyA,intra'!$A$197:$CQ$202</t>
    <phoneticPr fontId="2" type="noConversion"/>
  </si>
  <si>
    <t>'AVSC2 losslG,lossyA,intra'!$A$203:$CQ$208</t>
    <phoneticPr fontId="2" type="noConversion"/>
  </si>
  <si>
    <t>'AVSC2 losslG,lossyA,intra'!$A$209:$CQ$214</t>
    <phoneticPr fontId="2" type="noConversion"/>
  </si>
  <si>
    <t>'AVSC2 losslG,lossyA,intra'!$A$215:$CQ$220</t>
    <phoneticPr fontId="2" type="noConversion"/>
  </si>
  <si>
    <t>'AVSC2 losslG,lossyA,intra'!$A$221:$CQ$226</t>
    <phoneticPr fontId="2" type="noConversion"/>
  </si>
  <si>
    <t>'AVSC2 losslG,lossyA,intra'!$A$227:$CQ$232</t>
    <phoneticPr fontId="2" type="noConversion"/>
  </si>
  <si>
    <t>'AVSC2 losslG,lossyA,intra'!$A$233:$CQ$238</t>
    <phoneticPr fontId="2" type="noConversion"/>
  </si>
  <si>
    <t>'AVSC2 losslG,lossyA,intra'!$A$239:$CQ$244</t>
    <phoneticPr fontId="2" type="noConversion"/>
  </si>
  <si>
    <t>range.AVSC3 losslG,limit-lossyA,intra.apollo_vox14</t>
    <phoneticPr fontId="2" type="noConversion"/>
  </si>
  <si>
    <t>range.AVSC3 losslG,limit-lossyA,intra.bicycle_vox13</t>
    <phoneticPr fontId="2" type="noConversion"/>
  </si>
  <si>
    <t>range.AVSC3 losslG,limit-lossyA,intra.building_vox13</t>
    <phoneticPr fontId="2" type="noConversion"/>
  </si>
  <si>
    <t>range.AVSC3 losslG,limit-lossyA,intra.caiman_vox15</t>
    <phoneticPr fontId="2" type="noConversion"/>
  </si>
  <si>
    <t>range.AVSC3 losslG,limit-lossyA,intra.candlestick_vox13</t>
    <phoneticPr fontId="2" type="noConversion"/>
  </si>
  <si>
    <t>range.AVSC3 losslG,limit-lossyA,intra.casket_vox14</t>
    <phoneticPr fontId="2" type="noConversion"/>
  </si>
  <si>
    <t>range.AVSC3 losslG,limit-lossyA,intra.chair_vox12</t>
    <phoneticPr fontId="2" type="noConversion"/>
  </si>
  <si>
    <t>range.AVSC3 losslG,limit-lossyA,intra.clock1_vox13</t>
    <phoneticPr fontId="2" type="noConversion"/>
  </si>
  <si>
    <t>range.AVSC3 losslG,limit-lossyA,intra.machine_vox12</t>
    <phoneticPr fontId="2" type="noConversion"/>
  </si>
  <si>
    <t>range.AVSC3 losslG,limit-lossyA,intra.mosquito_vox14</t>
    <phoneticPr fontId="2" type="noConversion"/>
  </si>
  <si>
    <t>range.AVSC3 losslG,limit-lossyA,intra.puppet_vox15</t>
    <phoneticPr fontId="2" type="noConversion"/>
  </si>
  <si>
    <t>range.AVSC3 losslG,limit-lossyA,intra.shoes_vox13</t>
    <phoneticPr fontId="2" type="noConversion"/>
  </si>
  <si>
    <t>range.AVSC3 losslG,limit-lossyA,intra.vessel4_vox12</t>
    <phoneticPr fontId="2" type="noConversion"/>
  </si>
  <si>
    <t>range.AVSC3 losslG,limit-lossyA,intra.violin1_vox14</t>
    <phoneticPr fontId="2" type="noConversion"/>
  </si>
  <si>
    <t>'AVSC3 losslG,limit-lossyA,intra'!$A$135:$DI$139</t>
    <phoneticPr fontId="2" type="noConversion"/>
  </si>
  <si>
    <t>'AVSC3 losslG,limit-lossyA,intra'!$A$140:$DI$144</t>
    <phoneticPr fontId="2" type="noConversion"/>
  </si>
  <si>
    <t>'AVSC3 losslG,limit-lossyA,intra'!$A$145:$DI$149</t>
    <phoneticPr fontId="2" type="noConversion"/>
  </si>
  <si>
    <t>'AVSC3 losslG,limit-lossyA,intra'!$A$150:$DI$154</t>
    <phoneticPr fontId="2" type="noConversion"/>
  </si>
  <si>
    <t>'AVSC3 losslG,limit-lossyA,intra'!$A$155:$DI$159</t>
    <phoneticPr fontId="2" type="noConversion"/>
  </si>
  <si>
    <t>'AVSC3 losslG,limit-lossyA,intra'!$A$160:$DI$164</t>
    <phoneticPr fontId="2" type="noConversion"/>
  </si>
  <si>
    <t>'AVSC3 losslG,limit-lossyA,intra'!$A$165:$DI$169</t>
    <phoneticPr fontId="2" type="noConversion"/>
  </si>
  <si>
    <t>'AVSC3 losslG,limit-lossyA,intra'!$A$170:$DI$174</t>
    <phoneticPr fontId="2" type="noConversion"/>
  </si>
  <si>
    <t>'AVSC3 losslG,limit-lossyA,intra'!$A$175:$DI$179</t>
    <phoneticPr fontId="2" type="noConversion"/>
  </si>
  <si>
    <t>'AVSC3 losslG,limit-lossyA,intra'!$A$180:$DI$184</t>
    <phoneticPr fontId="2" type="noConversion"/>
  </si>
  <si>
    <t>'AVSC3 losslG,limit-lossyA,intra'!$A$185:$DI$189</t>
    <phoneticPr fontId="2" type="noConversion"/>
  </si>
  <si>
    <t>'AVSC3 losslG,limit-lossyA,intra'!$A$190:$DI$194</t>
    <phoneticPr fontId="2" type="noConversion"/>
  </si>
  <si>
    <t>'AVSC3 losslG,limit-lossyA,intra'!$A$195:$DI$199</t>
    <phoneticPr fontId="2" type="noConversion"/>
  </si>
  <si>
    <t>'AVSC3 losslG,limit-lossyA,intra'!$A$200:$DI$204</t>
    <phoneticPr fontId="2" type="noConversion"/>
  </si>
  <si>
    <t>range.AVSC4 losslG,losslA,intra.apollo_vox14</t>
    <phoneticPr fontId="2" type="noConversion"/>
  </si>
  <si>
    <t>range.AVSC4 losslG,losslA,intra.bicycle_vox13</t>
    <phoneticPr fontId="2" type="noConversion"/>
  </si>
  <si>
    <t>range.AVSC4 losslG,losslA,intra.building_vox13</t>
    <phoneticPr fontId="2" type="noConversion"/>
  </si>
  <si>
    <t>range.AVSC4 losslG,losslA,intra.caiman_vox15</t>
    <phoneticPr fontId="2" type="noConversion"/>
  </si>
  <si>
    <t>range.AVSC4 losslG,losslA,intra.candlestick_vox13</t>
    <phoneticPr fontId="2" type="noConversion"/>
  </si>
  <si>
    <t>range.AVSC4 losslG,losslA,intra.casket_vox14</t>
    <phoneticPr fontId="2" type="noConversion"/>
  </si>
  <si>
    <t>range.AVSC4 losslG,losslA,intra.chair_vox12</t>
    <phoneticPr fontId="2" type="noConversion"/>
  </si>
  <si>
    <t>range.AVSC4 losslG,losslA,intra.clock1_vox13</t>
    <phoneticPr fontId="2" type="noConversion"/>
  </si>
  <si>
    <t>range.AVSC4 losslG,losslA,intra.machine_vox12</t>
    <phoneticPr fontId="2" type="noConversion"/>
  </si>
  <si>
    <t>range.AVSC4 losslG,losslA,intra.mosquito_vox14</t>
    <phoneticPr fontId="2" type="noConversion"/>
  </si>
  <si>
    <t>range.AVSC4 losslG,losslA,intra.puppet_vox15</t>
    <phoneticPr fontId="2" type="noConversion"/>
  </si>
  <si>
    <t>range.AVSC4 losslG,losslA,intra.shoes_vox13</t>
    <phoneticPr fontId="2" type="noConversion"/>
  </si>
  <si>
    <t>range.AVSC4 losslG,losslA,intra.vessel4_vox12</t>
    <phoneticPr fontId="2" type="noConversion"/>
  </si>
  <si>
    <t>range.AVSC4 losslG,losslA,intra.violin1_vox14</t>
    <phoneticPr fontId="2" type="noConversion"/>
  </si>
  <si>
    <t>'AVSC4 losslG,losslA,intra'!$A$31:$CB$31</t>
    <phoneticPr fontId="2" type="noConversion"/>
  </si>
  <si>
    <t>'AVSC4 losslG,losslA,intra'!$A$32:$CB$32</t>
    <phoneticPr fontId="2" type="noConversion"/>
  </si>
  <si>
    <t>'AVSC4 losslG,losslA,intra'!$A$33:$CB$33</t>
    <phoneticPr fontId="2" type="noConversion"/>
  </si>
  <si>
    <t>'AVSC4 losslG,losslA,intra'!$A$34:$CB$34</t>
    <phoneticPr fontId="2" type="noConversion"/>
  </si>
  <si>
    <t>'AVSC4 losslG,losslA,intra'!$A$35:$CB$35</t>
    <phoneticPr fontId="2" type="noConversion"/>
  </si>
  <si>
    <t>'AVSC4 losslG,losslA,intra'!$A$36:$CB$36</t>
    <phoneticPr fontId="2" type="noConversion"/>
  </si>
  <si>
    <t>'AVSC4 losslG,losslA,intra'!$A$37:$CB$37</t>
    <phoneticPr fontId="2" type="noConversion"/>
  </si>
  <si>
    <t>'AVSC4 losslG,losslA,intra'!$A$38:$CB$38</t>
    <phoneticPr fontId="2" type="noConversion"/>
  </si>
  <si>
    <t>'AVSC4 losslG,losslA,intra'!$A$39:$CB$39</t>
    <phoneticPr fontId="2" type="noConversion"/>
  </si>
  <si>
    <t>'AVSC4 losslG,losslA,intra'!$A$40:$CB$40</t>
    <phoneticPr fontId="2" type="noConversion"/>
  </si>
  <si>
    <t>'AVSC4 losslG,losslA,intra'!$A$41:$CB$41</t>
    <phoneticPr fontId="2" type="noConversion"/>
  </si>
  <si>
    <t>'AVSC4 losslG,losslA,intra'!$A$42:$CB$42</t>
    <phoneticPr fontId="2" type="noConversion"/>
  </si>
  <si>
    <t>'AVSC4 losslG,losslA,intra'!$A$43:$CB$43</t>
    <phoneticPr fontId="2" type="noConversion"/>
  </si>
  <si>
    <t>'AVSC4 losslG,losslA,intra'!$A$44:$CB$44</t>
    <phoneticPr fontId="2" type="noConversion"/>
  </si>
  <si>
    <t>Attribute</t>
  </si>
  <si>
    <t>RGB-PSNR</t>
  </si>
  <si>
    <t>YUV-PSNR</t>
  </si>
  <si>
    <t>YUV-SSIM</t>
  </si>
  <si>
    <t>bartender</t>
  </si>
  <si>
    <t>cinema</t>
  </si>
  <si>
    <t>Attr Encoder runtime [s]</t>
  </si>
  <si>
    <t>Attr Decoder runtime [s]</t>
  </si>
  <si>
    <t>SH 0</t>
  </si>
  <si>
    <t>SH1</t>
  </si>
  <si>
    <t>SH2</t>
  </si>
  <si>
    <t>SH3</t>
  </si>
  <si>
    <t>Rotation</t>
  </si>
  <si>
    <t>Scaling</t>
  </si>
  <si>
    <t>Opacity</t>
  </si>
  <si>
    <t>Anchor</t>
  </si>
  <si>
    <t>Test</t>
  </si>
  <si>
    <t>Test point</t>
  </si>
  <si>
    <t>r05</t>
    <phoneticPr fontId="8" type="noConversion"/>
  </si>
  <si>
    <t>No output points</t>
  </si>
  <si>
    <t>No input points</t>
  </si>
  <si>
    <t>photo</t>
  </si>
  <si>
    <t>toy</t>
  </si>
  <si>
    <t>bicycle</t>
  </si>
  <si>
    <t>garden</t>
  </si>
  <si>
    <t>rocket</t>
  </si>
  <si>
    <t>alley</t>
  </si>
  <si>
    <t>Class</t>
  </si>
  <si>
    <t>cat1</t>
  </si>
  <si>
    <t>cat2</t>
  </si>
  <si>
    <t>User Encoder runtime</t>
    <phoneticPr fontId="2" type="noConversion"/>
  </si>
  <si>
    <t>User Decoder runtime</t>
    <phoneticPr fontId="2" type="noConversion"/>
  </si>
  <si>
    <t>Geom Encoder runtime</t>
    <phoneticPr fontId="2" type="noConversion"/>
  </si>
  <si>
    <t>Geom Decoder runtime</t>
    <phoneticPr fontId="2" type="noConversion"/>
  </si>
  <si>
    <t>Attr Encoder runtime</t>
    <phoneticPr fontId="2" type="noConversion"/>
  </si>
  <si>
    <t>Attr Decoder runtime</t>
    <phoneticPr fontId="2" type="noConversion"/>
  </si>
  <si>
    <t>cat1</t>
    <phoneticPr fontId="2" type="noConversion"/>
  </si>
  <si>
    <t>cat2</t>
    <phoneticPr fontId="2" type="noConversion"/>
  </si>
  <si>
    <t>bartender</t>
    <phoneticPr fontId="2" type="noConversion"/>
  </si>
  <si>
    <t>RGB-PSNR</t>
    <phoneticPr fontId="2" type="noConversion"/>
  </si>
  <si>
    <t>YUV-PSNR</t>
    <phoneticPr fontId="2" type="noConversion"/>
  </si>
  <si>
    <t>All data points</t>
    <phoneticPr fontId="2" type="noConversion"/>
  </si>
  <si>
    <t>Class</t>
    <phoneticPr fontId="2" type="noConversion"/>
  </si>
  <si>
    <t>End-to-End BD-AttrRate[%]</t>
    <phoneticPr fontId="2" type="noConversion"/>
  </si>
  <si>
    <t>Ref</t>
    <phoneticPr fontId="2" type="noConversion"/>
  </si>
  <si>
    <r>
      <rPr>
        <b/>
        <sz val="11"/>
        <color theme="1"/>
        <rFont val="Segoe UI Symbol"/>
        <family val="1"/>
      </rPr>
      <t>△</t>
    </r>
    <r>
      <rPr>
        <b/>
        <sz val="11"/>
        <color theme="1"/>
        <rFont val="Cambria"/>
        <family val="1"/>
      </rPr>
      <t>Bitstream [bits]</t>
    </r>
    <phoneticPr fontId="2" type="noConversion"/>
  </si>
  <si>
    <r>
      <rPr>
        <b/>
        <sz val="11"/>
        <color theme="1"/>
        <rFont val="Segoe UI Symbol"/>
        <family val="1"/>
      </rPr>
      <t>△</t>
    </r>
    <r>
      <rPr>
        <b/>
        <sz val="11"/>
        <color theme="1"/>
        <rFont val="Cambria"/>
        <family val="1"/>
      </rPr>
      <t>Attr PSNR/SSIM</t>
    </r>
    <phoneticPr fontId="2" type="noConversion"/>
  </si>
  <si>
    <t>Sequence list</t>
    <phoneticPr fontId="2" type="noConversion"/>
  </si>
  <si>
    <t>Bitstream [bits]</t>
    <phoneticPr fontId="2" type="noConversion"/>
  </si>
  <si>
    <t>Seq</t>
    <phoneticPr fontId="2" type="noConversion"/>
  </si>
  <si>
    <t>Attr</t>
    <phoneticPr fontId="2" type="noConversion"/>
  </si>
  <si>
    <t>start row</t>
    <phoneticPr fontId="2" type="noConversion"/>
  </si>
  <si>
    <t>Sequence</t>
    <phoneticPr fontId="2" type="noConversion"/>
  </si>
  <si>
    <t>BD-TotalRate</t>
    <phoneticPr fontId="2" type="noConversion"/>
  </si>
  <si>
    <t>BD-AttrRate</t>
    <phoneticPr fontId="2" type="noConversion"/>
  </si>
  <si>
    <t>Information row/column</t>
    <phoneticPr fontId="2" type="noConversion"/>
  </si>
  <si>
    <t>Total Average</t>
    <phoneticPr fontId="2" type="noConversion"/>
  </si>
  <si>
    <t>Attribute</t>
    <phoneticPr fontId="2" type="noConversion"/>
  </si>
  <si>
    <t xml:space="preserve">Anchor:  </t>
    <phoneticPr fontId="2" type="noConversion"/>
  </si>
  <si>
    <t xml:space="preserve">Test:  </t>
    <phoneticPr fontId="2" type="noConversion"/>
  </si>
  <si>
    <t>PSNR/SSIM</t>
    <phoneticPr fontId="2" type="noConversion"/>
  </si>
  <si>
    <t xml:space="preserve">Total </t>
    <phoneticPr fontId="2" type="noConversion"/>
  </si>
  <si>
    <t>C1!H</t>
    <phoneticPr fontId="2" type="noConversion"/>
  </si>
  <si>
    <t>anchor totalbits</t>
    <phoneticPr fontId="2" type="noConversion"/>
  </si>
  <si>
    <t>anchor attrbits</t>
    <phoneticPr fontId="2" type="noConversion"/>
  </si>
  <si>
    <t xml:space="preserve">test totalbits </t>
    <phoneticPr fontId="2" type="noConversion"/>
  </si>
  <si>
    <t xml:space="preserve">test attrbits </t>
    <phoneticPr fontId="2" type="noConversion"/>
  </si>
  <si>
    <t>C1!R</t>
    <phoneticPr fontId="2" type="noConversion"/>
  </si>
  <si>
    <t>C1!AL</t>
    <phoneticPr fontId="2" type="noConversion"/>
  </si>
  <si>
    <t>C1!AB</t>
    <phoneticPr fontId="2" type="noConversion"/>
  </si>
  <si>
    <t>C1!F</t>
    <phoneticPr fontId="2" type="noConversion"/>
  </si>
  <si>
    <t>C1!Z</t>
    <phoneticPr fontId="2" type="noConversion"/>
  </si>
  <si>
    <t>C1!P</t>
    <phoneticPr fontId="2" type="noConversion"/>
  </si>
  <si>
    <t>ahchor RGB-PSNR</t>
    <phoneticPr fontId="2" type="noConversion"/>
  </si>
  <si>
    <t>ahchor YUV-PSNR</t>
    <phoneticPr fontId="2" type="noConversion"/>
  </si>
  <si>
    <t>ahchor YUV-SSIM</t>
    <phoneticPr fontId="2" type="noConversion"/>
  </si>
  <si>
    <t>C1!Q</t>
    <phoneticPr fontId="2" type="noConversion"/>
  </si>
  <si>
    <t>test RGB-PSNR</t>
    <phoneticPr fontId="2" type="noConversion"/>
  </si>
  <si>
    <t>test YUV-PSNR</t>
    <phoneticPr fontId="2" type="noConversion"/>
  </si>
  <si>
    <t>test YUV-SSIM</t>
    <phoneticPr fontId="2" type="noConversion"/>
  </si>
  <si>
    <t>C1!AJ</t>
    <phoneticPr fontId="2" type="noConversion"/>
  </si>
  <si>
    <t>C1!AK</t>
    <phoneticPr fontId="2" type="noConversion"/>
  </si>
  <si>
    <t>PSNR/SSIM delta</t>
    <phoneticPr fontId="2" type="noConversion"/>
  </si>
  <si>
    <t>alley</t>
    <phoneticPr fontId="2" type="noConversion"/>
  </si>
  <si>
    <t>rocket</t>
    <phoneticPr fontId="2" type="noConversion"/>
  </si>
  <si>
    <t>Ratio [%]</t>
    <phoneticPr fontId="2" type="noConversion"/>
  </si>
  <si>
    <t>BD-TotalRate [%]</t>
    <phoneticPr fontId="2" type="noConversion"/>
  </si>
  <si>
    <t>BD-AttrRate [%]</t>
    <phoneticPr fontId="2" type="noConversion"/>
  </si>
  <si>
    <t>Result Comparison</t>
    <phoneticPr fontId="2" type="noConversion"/>
  </si>
  <si>
    <t>Total</t>
    <phoneticPr fontId="2" type="noConversion"/>
  </si>
  <si>
    <t>Delta=Test-Anchor</t>
    <phoneticPr fontId="2" type="noConversion"/>
  </si>
  <si>
    <t>gymnasium</t>
    <phoneticPr fontId="2" type="noConversion"/>
  </si>
  <si>
    <t>library_1</t>
    <phoneticPr fontId="2" type="noConversion"/>
  </si>
  <si>
    <t>library_2</t>
    <phoneticPr fontId="2" type="noConversion"/>
  </si>
  <si>
    <t>museum_1</t>
    <phoneticPr fontId="2" type="noConversion"/>
  </si>
  <si>
    <t>museum_2</t>
    <phoneticPr fontId="2" type="noConversion"/>
  </si>
  <si>
    <t>park</t>
    <phoneticPr fontId="2" type="noConversion"/>
  </si>
  <si>
    <t>teaching_1</t>
    <phoneticPr fontId="2" type="noConversion"/>
  </si>
  <si>
    <t>teaching_2</t>
    <phoneticPr fontId="2" type="noConversion"/>
  </si>
  <si>
    <t>track</t>
    <phoneticPr fontId="2" type="noConversion"/>
  </si>
  <si>
    <t>velodrome</t>
    <phoneticPr fontId="2" type="noConversion"/>
  </si>
  <si>
    <t>cat3</t>
    <phoneticPr fontId="2" type="noConversion"/>
  </si>
  <si>
    <t>cat1: bartender</t>
    <phoneticPr fontId="2" type="noConversion"/>
  </si>
  <si>
    <t>cat1: cinema</t>
    <phoneticPr fontId="2" type="noConversion"/>
  </si>
  <si>
    <t>cat2: bicycle</t>
    <phoneticPr fontId="2" type="noConversion"/>
  </si>
  <si>
    <t>cat2: garden</t>
    <phoneticPr fontId="2" type="noConversion"/>
  </si>
  <si>
    <t>cat2: alley</t>
    <phoneticPr fontId="2" type="noConversion"/>
  </si>
  <si>
    <t>cat2: rocket</t>
    <phoneticPr fontId="2" type="noConversion"/>
  </si>
  <si>
    <t>cat3: gymnasium</t>
    <phoneticPr fontId="2" type="noConversion"/>
  </si>
  <si>
    <t>cat3: library_1</t>
    <phoneticPr fontId="2" type="noConversion"/>
  </si>
  <si>
    <t>cat3: library_2</t>
    <phoneticPr fontId="2" type="noConversion"/>
  </si>
  <si>
    <t>cat3: museum_1</t>
    <phoneticPr fontId="2" type="noConversion"/>
  </si>
  <si>
    <t>cat3: museum_2</t>
    <phoneticPr fontId="2" type="noConversion"/>
  </si>
  <si>
    <t>cat3: park</t>
    <phoneticPr fontId="2" type="noConversion"/>
  </si>
  <si>
    <t>cat3: teaching_1</t>
    <phoneticPr fontId="2" type="noConversion"/>
  </si>
  <si>
    <t>cat3: teaching_2</t>
    <phoneticPr fontId="2" type="noConversion"/>
  </si>
  <si>
    <t>cat3: track</t>
    <phoneticPr fontId="2" type="noConversion"/>
  </si>
  <si>
    <t>cat3: velodrome</t>
    <phoneticPr fontId="2" type="noConversion"/>
  </si>
  <si>
    <t>Variant</t>
    <phoneticPr fontId="2" type="noConversion"/>
  </si>
  <si>
    <t>ricewine</t>
  </si>
  <si>
    <t>bear_crop</t>
  </si>
  <si>
    <t>bike_crop</t>
  </si>
  <si>
    <t>robot</t>
  </si>
  <si>
    <t>table_crop</t>
  </si>
  <si>
    <t>GSCEM v2.0rc</t>
  </si>
  <si>
    <t>cat3</t>
  </si>
  <si>
    <t>cat1: ricewine</t>
  </si>
  <si>
    <t>cat2: photo</t>
  </si>
  <si>
    <t>cat2: toy</t>
  </si>
  <si>
    <t>cat2: bear_crop</t>
  </si>
  <si>
    <t>cat2: bike_crop</t>
  </si>
  <si>
    <t>cat2: robot</t>
  </si>
  <si>
    <t>cat2: table_crop</t>
  </si>
  <si>
    <t>cat1: bartender</t>
  </si>
  <si>
    <t>GSCEM predtrans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</si>
</sst>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0.00000"/>
    <numFmt numFmtId="178" formatCode="0.000000"/>
    <numFmt numFmtId="179" formatCode="#,##0.0000000"/>
    <numFmt numFmtId="180" formatCode="0.0000_ "/>
    <numFmt numFmtId="181" formatCode="0.00_ 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2"/>
      <color theme="1"/>
      <name val="Calibri"/>
      <family val="2"/>
      <charset val="129"/>
      <scheme val="minor"/>
    </font>
    <font>
      <b/>
      <sz val="9"/>
      <color indexed="8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3"/>
      <charset val="134"/>
      <scheme val="minor"/>
    </font>
    <font>
      <sz val="12"/>
      <color rgb="FF9C0006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1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mbria"/>
      <family val="1"/>
    </font>
    <font>
      <b/>
      <sz val="11"/>
      <color theme="1"/>
      <name val="Cambria"/>
      <family val="1"/>
      <scheme val="major"/>
    </font>
    <font>
      <b/>
      <sz val="11"/>
      <color theme="1"/>
      <name val="Segoe UI Symbol"/>
      <family val="1"/>
    </font>
    <font>
      <b/>
      <sz val="12"/>
      <color theme="1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sz val="11"/>
      <color indexed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mbria"/>
      <family val="1"/>
      <scheme val="major"/>
    </font>
    <font>
      <b/>
      <sz val="8"/>
      <color theme="1"/>
      <name val="Cambria"/>
      <family val="1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3" tint="0.7999511703848384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3D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4DFEC"/>
        <bgColor indexed="64"/>
      </patternFill>
    </fill>
  </fills>
  <borders count="60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301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quotePrefix="1"/>
    <xf numFmtId="0" fontId="6" fillId="0" borderId="0" xfId="0" applyFont="1"/>
    <xf numFmtId="0" fontId="7" fillId="0" borderId="0" xfId="0" applyFont="1"/>
    <xf numFmtId="0" fontId="7" fillId="0" borderId="0" xfId="0" quotePrefix="1" applyFont="1" applyAlignment="1">
      <alignment horizontal="left"/>
    </xf>
    <xf numFmtId="0" fontId="1" fillId="0" borderId="10" xfId="0" applyFont="1" applyBorder="1" applyAlignment="1">
      <alignment horizontal="center" wrapText="1"/>
    </xf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0" borderId="0" xfId="1" applyFont="1"/>
    <xf numFmtId="10" fontId="6" fillId="0" borderId="0" xfId="0" applyNumberFormat="1" applyFont="1"/>
    <xf numFmtId="10" fontId="1" fillId="0" borderId="0" xfId="0" applyNumberFormat="1" applyFont="1" applyAlignment="1">
      <alignment wrapText="1"/>
    </xf>
    <xf numFmtId="0" fontId="1" fillId="0" borderId="18" xfId="0" applyFont="1" applyBorder="1" applyAlignment="1">
      <alignment horizontal="center" wrapText="1"/>
    </xf>
    <xf numFmtId="3" fontId="1" fillId="0" borderId="18" xfId="0" applyNumberFormat="1" applyFont="1" applyBorder="1" applyAlignment="1">
      <alignment horizontal="right" wrapText="1"/>
    </xf>
    <xf numFmtId="3" fontId="0" fillId="0" borderId="0" xfId="0" applyNumberFormat="1" applyAlignment="1">
      <alignment horizontal="right"/>
    </xf>
    <xf numFmtId="10" fontId="0" fillId="0" borderId="0" xfId="0" applyNumberFormat="1" applyAlignment="1">
      <alignment horizontal="center"/>
    </xf>
    <xf numFmtId="3" fontId="0" fillId="0" borderId="0" xfId="0" applyNumberFormat="1"/>
    <xf numFmtId="3" fontId="1" fillId="0" borderId="18" xfId="0" applyNumberFormat="1" applyFont="1" applyBorder="1" applyAlignment="1">
      <alignment horizontal="center" wrapText="1"/>
    </xf>
    <xf numFmtId="3" fontId="11" fillId="0" borderId="0" xfId="0" applyNumberFormat="1" applyFont="1" applyAlignment="1">
      <alignment horizontal="center"/>
    </xf>
    <xf numFmtId="0" fontId="12" fillId="0" borderId="1" xfId="0" applyFont="1" applyBorder="1" applyAlignment="1">
      <alignment horizontal="right"/>
    </xf>
    <xf numFmtId="0" fontId="12" fillId="0" borderId="2" xfId="0" applyFont="1" applyBorder="1" applyAlignment="1">
      <alignment horizontal="right"/>
    </xf>
    <xf numFmtId="3" fontId="10" fillId="2" borderId="8" xfId="0" applyNumberFormat="1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wrapText="1"/>
    </xf>
    <xf numFmtId="0" fontId="12" fillId="6" borderId="1" xfId="0" applyFont="1" applyFill="1" applyBorder="1" applyAlignment="1">
      <alignment horizontal="center"/>
    </xf>
    <xf numFmtId="0" fontId="12" fillId="6" borderId="0" xfId="0" applyFont="1" applyFill="1" applyAlignment="1">
      <alignment horizontal="center"/>
    </xf>
    <xf numFmtId="0" fontId="12" fillId="6" borderId="2" xfId="0" applyFont="1" applyFill="1" applyBorder="1" applyAlignment="1">
      <alignment horizontal="center"/>
    </xf>
    <xf numFmtId="3" fontId="10" fillId="0" borderId="31" xfId="0" applyNumberFormat="1" applyFont="1" applyBorder="1" applyAlignment="1">
      <alignment horizontal="center" wrapText="1"/>
    </xf>
    <xf numFmtId="3" fontId="1" fillId="0" borderId="35" xfId="0" applyNumberFormat="1" applyFont="1" applyBorder="1" applyAlignment="1">
      <alignment horizontal="right" wrapText="1"/>
    </xf>
    <xf numFmtId="0" fontId="1" fillId="0" borderId="37" xfId="0" applyFont="1" applyBorder="1" applyAlignment="1">
      <alignment horizontal="center" wrapText="1"/>
    </xf>
    <xf numFmtId="3" fontId="12" fillId="0" borderId="13" xfId="0" applyNumberFormat="1" applyFont="1" applyBorder="1" applyAlignment="1">
      <alignment horizontal="right"/>
    </xf>
    <xf numFmtId="0" fontId="12" fillId="0" borderId="14" xfId="0" applyFont="1" applyBorder="1" applyAlignment="1">
      <alignment horizontal="right"/>
    </xf>
    <xf numFmtId="3" fontId="12" fillId="0" borderId="12" xfId="0" applyNumberFormat="1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15" xfId="0" applyFont="1" applyBorder="1" applyAlignment="1">
      <alignment horizontal="right"/>
    </xf>
    <xf numFmtId="3" fontId="12" fillId="0" borderId="16" xfId="0" applyNumberFormat="1" applyFont="1" applyBorder="1" applyAlignment="1">
      <alignment horizontal="right"/>
    </xf>
    <xf numFmtId="0" fontId="12" fillId="0" borderId="17" xfId="0" applyFont="1" applyBorder="1" applyAlignment="1">
      <alignment horizontal="right"/>
    </xf>
    <xf numFmtId="3" fontId="1" fillId="0" borderId="35" xfId="0" applyNumberFormat="1" applyFont="1" applyBorder="1" applyAlignment="1">
      <alignment horizontal="center" wrapText="1"/>
    </xf>
    <xf numFmtId="0" fontId="1" fillId="0" borderId="38" xfId="0" applyFont="1" applyBorder="1" applyAlignment="1">
      <alignment horizontal="center" wrapText="1"/>
    </xf>
    <xf numFmtId="3" fontId="10" fillId="5" borderId="11" xfId="0" applyNumberFormat="1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3" fontId="12" fillId="6" borderId="1" xfId="0" applyNumberFormat="1" applyFont="1" applyFill="1" applyBorder="1" applyAlignment="1">
      <alignment horizontal="right"/>
    </xf>
    <xf numFmtId="3" fontId="12" fillId="6" borderId="2" xfId="0" applyNumberFormat="1" applyFont="1" applyFill="1" applyBorder="1" applyAlignment="1">
      <alignment horizontal="right"/>
    </xf>
    <xf numFmtId="0" fontId="9" fillId="0" borderId="12" xfId="0" applyFont="1" applyBorder="1" applyAlignment="1">
      <alignment horizontal="center" wrapText="1"/>
    </xf>
    <xf numFmtId="0" fontId="0" fillId="0" borderId="15" xfId="0" applyBorder="1"/>
    <xf numFmtId="10" fontId="13" fillId="8" borderId="26" xfId="0" applyNumberFormat="1" applyFont="1" applyFill="1" applyBorder="1" applyAlignment="1">
      <alignment horizontal="center"/>
    </xf>
    <xf numFmtId="10" fontId="13" fillId="8" borderId="23" xfId="0" applyNumberFormat="1" applyFont="1" applyFill="1" applyBorder="1" applyAlignment="1">
      <alignment horizontal="center"/>
    </xf>
    <xf numFmtId="10" fontId="13" fillId="8" borderId="39" xfId="0" applyNumberFormat="1" applyFont="1" applyFill="1" applyBorder="1" applyAlignment="1">
      <alignment horizontal="center"/>
    </xf>
    <xf numFmtId="10" fontId="14" fillId="7" borderId="23" xfId="0" applyNumberFormat="1" applyFont="1" applyFill="1" applyBorder="1" applyAlignment="1">
      <alignment horizontal="center" vertical="center" wrapText="1"/>
    </xf>
    <xf numFmtId="0" fontId="14" fillId="7" borderId="30" xfId="0" applyFont="1" applyFill="1" applyBorder="1" applyAlignment="1">
      <alignment horizontal="center" vertical="center" wrapText="1"/>
    </xf>
    <xf numFmtId="0" fontId="14" fillId="7" borderId="9" xfId="0" applyFont="1" applyFill="1" applyBorder="1" applyAlignment="1">
      <alignment horizontal="center" vertical="center" wrapText="1"/>
    </xf>
    <xf numFmtId="0" fontId="0" fillId="0" borderId="12" xfId="0" applyBorder="1"/>
    <xf numFmtId="3" fontId="10" fillId="6" borderId="11" xfId="0" applyNumberFormat="1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3" fontId="10" fillId="6" borderId="33" xfId="0" applyNumberFormat="1" applyFont="1" applyFill="1" applyBorder="1" applyAlignment="1">
      <alignment horizontal="center" vertical="center" wrapText="1"/>
    </xf>
    <xf numFmtId="3" fontId="12" fillId="0" borderId="1" xfId="0" applyNumberFormat="1" applyFont="1" applyBorder="1" applyAlignment="1">
      <alignment horizontal="right"/>
    </xf>
    <xf numFmtId="177" fontId="12" fillId="0" borderId="1" xfId="0" applyNumberFormat="1" applyFont="1" applyBorder="1" applyAlignment="1">
      <alignment horizontal="right"/>
    </xf>
    <xf numFmtId="178" fontId="12" fillId="0" borderId="1" xfId="0" applyNumberFormat="1" applyFont="1" applyBorder="1" applyAlignment="1">
      <alignment horizontal="right"/>
    </xf>
    <xf numFmtId="3" fontId="12" fillId="0" borderId="0" xfId="0" applyNumberFormat="1" applyFont="1" applyAlignment="1">
      <alignment horizontal="right"/>
    </xf>
    <xf numFmtId="177" fontId="12" fillId="0" borderId="0" xfId="0" applyNumberFormat="1" applyFont="1" applyAlignment="1">
      <alignment horizontal="right"/>
    </xf>
    <xf numFmtId="178" fontId="12" fillId="0" borderId="0" xfId="0" applyNumberFormat="1" applyFont="1" applyAlignment="1">
      <alignment horizontal="right"/>
    </xf>
    <xf numFmtId="3" fontId="12" fillId="0" borderId="2" xfId="0" applyNumberFormat="1" applyFont="1" applyBorder="1" applyAlignment="1">
      <alignment horizontal="right"/>
    </xf>
    <xf numFmtId="177" fontId="12" fillId="0" borderId="2" xfId="0" applyNumberFormat="1" applyFont="1" applyBorder="1" applyAlignment="1">
      <alignment horizontal="right"/>
    </xf>
    <xf numFmtId="178" fontId="12" fillId="0" borderId="2" xfId="0" applyNumberFormat="1" applyFont="1" applyBorder="1" applyAlignment="1">
      <alignment horizontal="right"/>
    </xf>
    <xf numFmtId="179" fontId="12" fillId="0" borderId="1" xfId="0" applyNumberFormat="1" applyFont="1" applyBorder="1" applyAlignment="1">
      <alignment horizontal="right"/>
    </xf>
    <xf numFmtId="179" fontId="12" fillId="0" borderId="14" xfId="0" applyNumberFormat="1" applyFont="1" applyBorder="1" applyAlignment="1">
      <alignment horizontal="right"/>
    </xf>
    <xf numFmtId="179" fontId="12" fillId="0" borderId="15" xfId="0" applyNumberFormat="1" applyFont="1" applyBorder="1" applyAlignment="1">
      <alignment horizontal="right"/>
    </xf>
    <xf numFmtId="179" fontId="12" fillId="0" borderId="2" xfId="0" applyNumberFormat="1" applyFont="1" applyBorder="1" applyAlignment="1">
      <alignment horizontal="right"/>
    </xf>
    <xf numFmtId="179" fontId="12" fillId="0" borderId="17" xfId="0" applyNumberFormat="1" applyFont="1" applyBorder="1" applyAlignment="1">
      <alignment horizontal="right"/>
    </xf>
    <xf numFmtId="0" fontId="17" fillId="0" borderId="0" xfId="0" applyFont="1"/>
    <xf numFmtId="0" fontId="18" fillId="0" borderId="0" xfId="0" applyFont="1"/>
    <xf numFmtId="1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 vertical="center"/>
    </xf>
    <xf numFmtId="0" fontId="17" fillId="11" borderId="6" xfId="0" applyFont="1" applyFill="1" applyBorder="1" applyAlignment="1">
      <alignment horizontal="center"/>
    </xf>
    <xf numFmtId="14" fontId="17" fillId="9" borderId="6" xfId="0" quotePrefix="1" applyNumberFormat="1" applyFont="1" applyFill="1" applyBorder="1" applyAlignment="1">
      <alignment horizontal="center"/>
    </xf>
    <xf numFmtId="0" fontId="21" fillId="6" borderId="19" xfId="0" applyFont="1" applyFill="1" applyBorder="1" applyAlignment="1">
      <alignment horizontal="center" vertical="center"/>
    </xf>
    <xf numFmtId="0" fontId="21" fillId="6" borderId="48" xfId="0" applyFont="1" applyFill="1" applyBorder="1" applyAlignment="1">
      <alignment horizontal="center" vertical="center"/>
    </xf>
    <xf numFmtId="10" fontId="21" fillId="0" borderId="31" xfId="0" applyNumberFormat="1" applyFont="1" applyBorder="1" applyAlignment="1">
      <alignment horizontal="center" vertical="center"/>
    </xf>
    <xf numFmtId="10" fontId="21" fillId="0" borderId="1" xfId="0" applyNumberFormat="1" applyFont="1" applyBorder="1" applyAlignment="1">
      <alignment horizontal="center" vertical="center"/>
    </xf>
    <xf numFmtId="10" fontId="21" fillId="0" borderId="52" xfId="0" applyNumberFormat="1" applyFont="1" applyBorder="1" applyAlignment="1">
      <alignment horizontal="center" vertical="center"/>
    </xf>
    <xf numFmtId="10" fontId="21" fillId="0" borderId="50" xfId="0" applyNumberFormat="1" applyFont="1" applyBorder="1" applyAlignment="1">
      <alignment horizontal="center" vertical="center"/>
    </xf>
    <xf numFmtId="10" fontId="21" fillId="0" borderId="0" xfId="0" applyNumberFormat="1" applyFont="1" applyAlignment="1">
      <alignment horizontal="center" vertical="center"/>
    </xf>
    <xf numFmtId="10" fontId="21" fillId="0" borderId="32" xfId="0" applyNumberFormat="1" applyFont="1" applyBorder="1" applyAlignment="1">
      <alignment horizontal="center" vertical="center"/>
    </xf>
    <xf numFmtId="10" fontId="21" fillId="0" borderId="44" xfId="0" applyNumberFormat="1" applyFont="1" applyBorder="1" applyAlignment="1">
      <alignment horizontal="center" vertical="center"/>
    </xf>
    <xf numFmtId="10" fontId="21" fillId="0" borderId="14" xfId="0" applyNumberFormat="1" applyFont="1" applyBorder="1" applyAlignment="1">
      <alignment horizontal="center" vertical="center"/>
    </xf>
    <xf numFmtId="10" fontId="21" fillId="0" borderId="15" xfId="0" applyNumberFormat="1" applyFont="1" applyBorder="1" applyAlignment="1">
      <alignment horizontal="center" vertical="center"/>
    </xf>
    <xf numFmtId="10" fontId="21" fillId="0" borderId="46" xfId="0" applyNumberFormat="1" applyFont="1" applyBorder="1" applyAlignment="1">
      <alignment horizontal="center" vertical="center"/>
    </xf>
    <xf numFmtId="10" fontId="21" fillId="0" borderId="34" xfId="0" applyNumberFormat="1" applyFont="1" applyBorder="1" applyAlignment="1">
      <alignment horizontal="center" vertical="center"/>
    </xf>
    <xf numFmtId="10" fontId="21" fillId="0" borderId="2" xfId="0" applyNumberFormat="1" applyFont="1" applyBorder="1" applyAlignment="1">
      <alignment horizontal="center" vertical="center"/>
    </xf>
    <xf numFmtId="10" fontId="21" fillId="0" borderId="33" xfId="0" applyNumberFormat="1" applyFont="1" applyBorder="1" applyAlignment="1">
      <alignment horizontal="center" vertical="center"/>
    </xf>
    <xf numFmtId="10" fontId="21" fillId="0" borderId="17" xfId="0" applyNumberFormat="1" applyFont="1" applyBorder="1" applyAlignment="1">
      <alignment horizontal="center" vertical="center"/>
    </xf>
    <xf numFmtId="10" fontId="13" fillId="8" borderId="6" xfId="0" applyNumberFormat="1" applyFont="1" applyFill="1" applyBorder="1" applyAlignment="1">
      <alignment horizontal="center"/>
    </xf>
    <xf numFmtId="10" fontId="13" fillId="8" borderId="7" xfId="0" applyNumberFormat="1" applyFont="1" applyFill="1" applyBorder="1" applyAlignment="1">
      <alignment horizontal="center"/>
    </xf>
    <xf numFmtId="10" fontId="13" fillId="8" borderId="24" xfId="0" applyNumberFormat="1" applyFont="1" applyFill="1" applyBorder="1" applyAlignment="1">
      <alignment horizontal="center"/>
    </xf>
    <xf numFmtId="10" fontId="13" fillId="8" borderId="25" xfId="0" applyNumberFormat="1" applyFont="1" applyFill="1" applyBorder="1" applyAlignment="1">
      <alignment horizontal="center"/>
    </xf>
    <xf numFmtId="10" fontId="13" fillId="8" borderId="8" xfId="0" applyNumberFormat="1" applyFont="1" applyFill="1" applyBorder="1" applyAlignment="1">
      <alignment horizontal="center"/>
    </xf>
    <xf numFmtId="10" fontId="13" fillId="8" borderId="9" xfId="0" applyNumberFormat="1" applyFont="1" applyFill="1" applyBorder="1" applyAlignment="1">
      <alignment horizontal="center"/>
    </xf>
    <xf numFmtId="10" fontId="21" fillId="0" borderId="13" xfId="0" applyNumberFormat="1" applyFont="1" applyBorder="1" applyAlignment="1">
      <alignment horizontal="center" vertical="center"/>
    </xf>
    <xf numFmtId="10" fontId="21" fillId="0" borderId="12" xfId="0" applyNumberFormat="1" applyFont="1" applyBorder="1" applyAlignment="1">
      <alignment horizontal="center" vertical="center"/>
    </xf>
    <xf numFmtId="10" fontId="21" fillId="0" borderId="45" xfId="0" applyNumberFormat="1" applyFont="1" applyBorder="1" applyAlignment="1">
      <alignment horizontal="center" vertical="center"/>
    </xf>
    <xf numFmtId="10" fontId="21" fillId="0" borderId="16" xfId="0" applyNumberFormat="1" applyFont="1" applyBorder="1" applyAlignment="1">
      <alignment horizontal="center" vertical="center"/>
    </xf>
    <xf numFmtId="0" fontId="21" fillId="8" borderId="49" xfId="0" applyFont="1" applyFill="1" applyBorder="1" applyAlignment="1">
      <alignment vertical="center"/>
    </xf>
    <xf numFmtId="0" fontId="22" fillId="3" borderId="0" xfId="0" applyFont="1" applyFill="1" applyAlignment="1">
      <alignment horizontal="right" wrapText="1"/>
    </xf>
    <xf numFmtId="0" fontId="22" fillId="10" borderId="0" xfId="0" applyFont="1" applyFill="1" applyAlignment="1">
      <alignment horizontal="right" wrapText="1"/>
    </xf>
    <xf numFmtId="10" fontId="23" fillId="6" borderId="39" xfId="0" applyNumberFormat="1" applyFont="1" applyFill="1" applyBorder="1" applyAlignment="1">
      <alignment horizontal="center" vertical="center"/>
    </xf>
    <xf numFmtId="10" fontId="23" fillId="6" borderId="24" xfId="0" applyNumberFormat="1" applyFont="1" applyFill="1" applyBorder="1" applyAlignment="1">
      <alignment horizontal="center" vertical="center"/>
    </xf>
    <xf numFmtId="10" fontId="23" fillId="6" borderId="25" xfId="0" applyNumberFormat="1" applyFont="1" applyFill="1" applyBorder="1" applyAlignment="1">
      <alignment horizontal="center" vertical="center"/>
    </xf>
    <xf numFmtId="0" fontId="20" fillId="6" borderId="54" xfId="0" applyFont="1" applyFill="1" applyBorder="1" applyAlignment="1">
      <alignment horizontal="center" vertical="center"/>
    </xf>
    <xf numFmtId="0" fontId="21" fillId="8" borderId="23" xfId="0" applyFont="1" applyFill="1" applyBorder="1" applyAlignment="1">
      <alignment vertical="center"/>
    </xf>
    <xf numFmtId="0" fontId="15" fillId="3" borderId="8" xfId="0" applyFont="1" applyFill="1" applyBorder="1" applyAlignment="1">
      <alignment horizontal="center" vertical="center" wrapText="1"/>
    </xf>
    <xf numFmtId="0" fontId="15" fillId="3" borderId="9" xfId="0" applyFont="1" applyFill="1" applyBorder="1" applyAlignment="1">
      <alignment horizontal="center" vertical="center" wrapText="1"/>
    </xf>
    <xf numFmtId="0" fontId="15" fillId="9" borderId="8" xfId="0" applyFont="1" applyFill="1" applyBorder="1" applyAlignment="1">
      <alignment horizontal="center" vertical="center" wrapText="1"/>
    </xf>
    <xf numFmtId="0" fontId="15" fillId="9" borderId="55" xfId="0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center" vertical="center" wrapText="1"/>
    </xf>
    <xf numFmtId="180" fontId="19" fillId="0" borderId="15" xfId="0" applyNumberFormat="1" applyFont="1" applyBorder="1" applyAlignment="1">
      <alignment horizontal="center"/>
    </xf>
    <xf numFmtId="180" fontId="19" fillId="0" borderId="17" xfId="0" applyNumberFormat="1" applyFont="1" applyBorder="1" applyAlignment="1">
      <alignment horizontal="center"/>
    </xf>
    <xf numFmtId="180" fontId="19" fillId="0" borderId="1" xfId="0" applyNumberFormat="1" applyFont="1" applyBorder="1" applyAlignment="1">
      <alignment horizontal="center"/>
    </xf>
    <xf numFmtId="181" fontId="19" fillId="0" borderId="1" xfId="0" applyNumberFormat="1" applyFont="1" applyBorder="1" applyAlignment="1">
      <alignment horizontal="center"/>
    </xf>
    <xf numFmtId="181" fontId="19" fillId="0" borderId="0" xfId="0" applyNumberFormat="1" applyFont="1" applyAlignment="1">
      <alignment horizontal="center"/>
    </xf>
    <xf numFmtId="181" fontId="19" fillId="0" borderId="2" xfId="0" applyNumberFormat="1" applyFont="1" applyBorder="1" applyAlignment="1">
      <alignment horizontal="center"/>
    </xf>
    <xf numFmtId="1" fontId="15" fillId="3" borderId="23" xfId="0" applyNumberFormat="1" applyFont="1" applyFill="1" applyBorder="1" applyAlignment="1">
      <alignment horizontal="center" vertical="center"/>
    </xf>
    <xf numFmtId="1" fontId="15" fillId="3" borderId="8" xfId="0" applyNumberFormat="1" applyFont="1" applyFill="1" applyBorder="1" applyAlignment="1">
      <alignment horizontal="center" vertical="center"/>
    </xf>
    <xf numFmtId="1" fontId="15" fillId="9" borderId="30" xfId="0" applyNumberFormat="1" applyFont="1" applyFill="1" applyBorder="1" applyAlignment="1">
      <alignment horizontal="center" vertical="center"/>
    </xf>
    <xf numFmtId="1" fontId="15" fillId="9" borderId="8" xfId="0" applyNumberFormat="1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6" fontId="19" fillId="0" borderId="13" xfId="0" applyNumberFormat="1" applyFont="1" applyBorder="1" applyAlignment="1">
      <alignment horizontal="center" vertical="center"/>
    </xf>
    <xf numFmtId="10" fontId="19" fillId="0" borderId="29" xfId="0" applyNumberFormat="1" applyFont="1" applyBorder="1" applyAlignment="1">
      <alignment horizontal="center" vertical="center"/>
    </xf>
    <xf numFmtId="10" fontId="19" fillId="0" borderId="56" xfId="0" applyNumberFormat="1" applyFont="1" applyBorder="1" applyAlignment="1">
      <alignment horizontal="center" vertical="center"/>
    </xf>
    <xf numFmtId="10" fontId="19" fillId="0" borderId="27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6" fontId="19" fillId="0" borderId="12" xfId="0" applyNumberFormat="1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6" fontId="19" fillId="0" borderId="16" xfId="0" applyNumberFormat="1" applyFont="1" applyBorder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0" fontId="15" fillId="6" borderId="55" xfId="0" applyFont="1" applyFill="1" applyBorder="1" applyAlignment="1">
      <alignment horizontal="center" vertical="center" wrapText="1"/>
    </xf>
    <xf numFmtId="10" fontId="19" fillId="0" borderId="28" xfId="0" applyNumberFormat="1" applyFont="1" applyBorder="1" applyAlignment="1">
      <alignment horizontal="center" vertical="center"/>
    </xf>
    <xf numFmtId="179" fontId="12" fillId="0" borderId="0" xfId="0" applyNumberFormat="1" applyFont="1" applyAlignment="1">
      <alignment horizontal="right"/>
    </xf>
    <xf numFmtId="0" fontId="21" fillId="6" borderId="51" xfId="0" applyFont="1" applyFill="1" applyBorder="1" applyAlignment="1">
      <alignment horizontal="center" vertical="center"/>
    </xf>
    <xf numFmtId="0" fontId="21" fillId="6" borderId="42" xfId="0" applyFont="1" applyFill="1" applyBorder="1" applyAlignment="1">
      <alignment horizontal="center" vertical="center"/>
    </xf>
    <xf numFmtId="0" fontId="20" fillId="6" borderId="44" xfId="0" applyFont="1" applyFill="1" applyBorder="1" applyAlignment="1">
      <alignment horizontal="center" vertical="center"/>
    </xf>
    <xf numFmtId="0" fontId="21" fillId="6" borderId="20" xfId="0" applyFont="1" applyFill="1" applyBorder="1" applyAlignment="1">
      <alignment horizontal="center" vertical="center"/>
    </xf>
    <xf numFmtId="0" fontId="21" fillId="6" borderId="54" xfId="0" applyFont="1" applyFill="1" applyBorder="1" applyAlignment="1">
      <alignment horizontal="center" vertical="center"/>
    </xf>
    <xf numFmtId="0" fontId="21" fillId="8" borderId="35" xfId="0" applyFont="1" applyFill="1" applyBorder="1" applyAlignment="1">
      <alignment vertical="center"/>
    </xf>
    <xf numFmtId="0" fontId="20" fillId="6" borderId="20" xfId="0" applyFont="1" applyFill="1" applyBorder="1" applyAlignment="1">
      <alignment horizontal="center" vertical="center"/>
    </xf>
    <xf numFmtId="10" fontId="21" fillId="0" borderId="57" xfId="0" applyNumberFormat="1" applyFont="1" applyBorder="1" applyAlignment="1">
      <alignment horizontal="center" vertical="center"/>
    </xf>
    <xf numFmtId="176" fontId="19" fillId="0" borderId="14" xfId="0" applyNumberFormat="1" applyFont="1" applyBorder="1" applyAlignment="1">
      <alignment horizontal="center" vertical="center"/>
    </xf>
    <xf numFmtId="176" fontId="19" fillId="0" borderId="15" xfId="0" applyNumberFormat="1" applyFont="1" applyBorder="1" applyAlignment="1">
      <alignment horizontal="center" vertical="center"/>
    </xf>
    <xf numFmtId="176" fontId="19" fillId="0" borderId="17" xfId="0" applyNumberFormat="1" applyFont="1" applyBorder="1" applyAlignment="1">
      <alignment horizontal="center" vertical="center"/>
    </xf>
    <xf numFmtId="10" fontId="13" fillId="8" borderId="58" xfId="0" applyNumberFormat="1" applyFont="1" applyFill="1" applyBorder="1" applyAlignment="1">
      <alignment horizontal="center"/>
    </xf>
    <xf numFmtId="10" fontId="9" fillId="0" borderId="35" xfId="0" applyNumberFormat="1" applyFont="1" applyBorder="1" applyAlignment="1">
      <alignment horizontal="center" wrapText="1"/>
    </xf>
    <xf numFmtId="0" fontId="9" fillId="0" borderId="18" xfId="0" applyFont="1" applyBorder="1" applyAlignment="1">
      <alignment horizontal="center" wrapText="1"/>
    </xf>
    <xf numFmtId="0" fontId="9" fillId="0" borderId="37" xfId="0" applyFont="1" applyBorder="1" applyAlignment="1">
      <alignment horizontal="center" wrapText="1"/>
    </xf>
    <xf numFmtId="10" fontId="13" fillId="8" borderId="30" xfId="0" applyNumberFormat="1" applyFont="1" applyFill="1" applyBorder="1" applyAlignment="1">
      <alignment horizontal="center"/>
    </xf>
    <xf numFmtId="10" fontId="19" fillId="0" borderId="3" xfId="0" applyNumberFormat="1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10" fontId="19" fillId="0" borderId="5" xfId="0" applyNumberFormat="1" applyFont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15" fillId="6" borderId="30" xfId="0" applyFont="1" applyFill="1" applyBorder="1" applyAlignment="1">
      <alignment horizontal="center" vertical="center" wrapText="1"/>
    </xf>
    <xf numFmtId="14" fontId="15" fillId="6" borderId="9" xfId="0" applyNumberFormat="1" applyFont="1" applyFill="1" applyBorder="1" applyAlignment="1">
      <alignment horizontal="center"/>
    </xf>
    <xf numFmtId="2" fontId="10" fillId="2" borderId="8" xfId="0" applyNumberFormat="1" applyFont="1" applyFill="1" applyBorder="1" applyAlignment="1">
      <alignment horizontal="center" vertical="center" wrapText="1"/>
    </xf>
    <xf numFmtId="2" fontId="1" fillId="0" borderId="18" xfId="0" applyNumberFormat="1" applyFont="1" applyBorder="1" applyAlignment="1">
      <alignment horizontal="center" wrapText="1"/>
    </xf>
    <xf numFmtId="2" fontId="0" fillId="0" borderId="0" xfId="0" applyNumberFormat="1"/>
    <xf numFmtId="0" fontId="1" fillId="0" borderId="35" xfId="0" applyFont="1" applyBorder="1" applyAlignment="1">
      <alignment horizontal="center" wrapText="1"/>
    </xf>
    <xf numFmtId="3" fontId="12" fillId="6" borderId="0" xfId="0" applyNumberFormat="1" applyFont="1" applyFill="1" applyAlignment="1">
      <alignment horizontal="right"/>
    </xf>
    <xf numFmtId="0" fontId="21" fillId="6" borderId="59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 vertical="center"/>
    </xf>
    <xf numFmtId="10" fontId="22" fillId="3" borderId="0" xfId="0" applyNumberFormat="1" applyFont="1" applyFill="1" applyAlignment="1">
      <alignment horizontal="left" wrapText="1"/>
    </xf>
    <xf numFmtId="10" fontId="22" fillId="10" borderId="0" xfId="0" applyNumberFormat="1" applyFont="1" applyFill="1" applyAlignment="1">
      <alignment horizontal="left" wrapText="1"/>
    </xf>
    <xf numFmtId="0" fontId="23" fillId="6" borderId="21" xfId="0" applyFont="1" applyFill="1" applyBorder="1" applyAlignment="1">
      <alignment horizontal="center" vertical="center" wrapText="1"/>
    </xf>
    <xf numFmtId="0" fontId="23" fillId="6" borderId="43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23" fillId="6" borderId="24" xfId="0" applyFont="1" applyFill="1" applyBorder="1" applyAlignment="1">
      <alignment horizontal="center" vertical="center" wrapText="1"/>
    </xf>
    <xf numFmtId="10" fontId="23" fillId="6" borderId="19" xfId="0" applyNumberFormat="1" applyFont="1" applyFill="1" applyBorder="1" applyAlignment="1">
      <alignment horizontal="center" vertical="center"/>
    </xf>
    <xf numFmtId="10" fontId="23" fillId="6" borderId="20" xfId="0" applyNumberFormat="1" applyFont="1" applyFill="1" applyBorder="1" applyAlignment="1">
      <alignment horizontal="center" vertical="center"/>
    </xf>
    <xf numFmtId="10" fontId="23" fillId="6" borderId="22" xfId="0" applyNumberFormat="1" applyFont="1" applyFill="1" applyBorder="1" applyAlignment="1">
      <alignment horizontal="center" vertical="center"/>
    </xf>
    <xf numFmtId="0" fontId="20" fillId="6" borderId="35" xfId="0" applyFont="1" applyFill="1" applyBorder="1" applyAlignment="1">
      <alignment horizontal="center" vertical="center"/>
    </xf>
    <xf numFmtId="0" fontId="20" fillId="6" borderId="49" xfId="0" applyFont="1" applyFill="1" applyBorder="1" applyAlignment="1">
      <alignment horizontal="center" vertical="center"/>
    </xf>
    <xf numFmtId="0" fontId="20" fillId="6" borderId="36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wrapText="1"/>
    </xf>
    <xf numFmtId="0" fontId="23" fillId="6" borderId="25" xfId="0" applyFont="1" applyFill="1" applyBorder="1" applyAlignment="1">
      <alignment horizontal="center" vertical="center" wrapText="1"/>
    </xf>
    <xf numFmtId="10" fontId="23" fillId="6" borderId="3" xfId="0" applyNumberFormat="1" applyFont="1" applyFill="1" applyBorder="1" applyAlignment="1">
      <alignment horizontal="center" vertical="center"/>
    </xf>
    <xf numFmtId="10" fontId="23" fillId="6" borderId="4" xfId="0" applyNumberFormat="1" applyFont="1" applyFill="1" applyBorder="1" applyAlignment="1">
      <alignment horizontal="center" vertical="center"/>
    </xf>
    <xf numFmtId="0" fontId="23" fillId="6" borderId="19" xfId="0" applyFont="1" applyFill="1" applyBorder="1" applyAlignment="1">
      <alignment horizontal="center" vertical="center"/>
    </xf>
    <xf numFmtId="0" fontId="23" fillId="6" borderId="42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20" fillId="6" borderId="26" xfId="0" applyFont="1" applyFill="1" applyBorder="1" applyAlignment="1">
      <alignment horizontal="center" vertical="center"/>
    </xf>
    <xf numFmtId="0" fontId="20" fillId="6" borderId="39" xfId="0" applyFont="1" applyFill="1" applyBorder="1" applyAlignment="1">
      <alignment horizontal="center" vertical="center"/>
    </xf>
    <xf numFmtId="0" fontId="20" fillId="6" borderId="23" xfId="0" applyFont="1" applyFill="1" applyBorder="1" applyAlignment="1">
      <alignment horizontal="center" vertical="center"/>
    </xf>
    <xf numFmtId="0" fontId="23" fillId="6" borderId="3" xfId="0" applyFont="1" applyFill="1" applyBorder="1" applyAlignment="1">
      <alignment horizontal="center" vertical="center"/>
    </xf>
    <xf numFmtId="0" fontId="23" fillId="6" borderId="39" xfId="0" applyFont="1" applyFill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9" borderId="21" xfId="0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10" fontId="15" fillId="10" borderId="2" xfId="0" applyNumberFormat="1" applyFont="1" applyFill="1" applyBorder="1" applyAlignment="1">
      <alignment horizontal="center" vertical="center"/>
    </xf>
    <xf numFmtId="14" fontId="0" fillId="6" borderId="35" xfId="0" applyNumberFormat="1" applyFill="1" applyBorder="1" applyAlignment="1">
      <alignment horizontal="center" vertical="center"/>
    </xf>
    <xf numFmtId="14" fontId="0" fillId="6" borderId="49" xfId="0" applyNumberFormat="1" applyFill="1" applyBorder="1" applyAlignment="1">
      <alignment horizontal="center" vertical="center"/>
    </xf>
    <xf numFmtId="14" fontId="0" fillId="6" borderId="36" xfId="0" applyNumberForma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6" borderId="35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15" fillId="6" borderId="36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10" fontId="15" fillId="3" borderId="28" xfId="0" applyNumberFormat="1" applyFont="1" applyFill="1" applyBorder="1" applyAlignment="1">
      <alignment horizontal="center" vertical="center"/>
    </xf>
    <xf numFmtId="10" fontId="15" fillId="3" borderId="29" xfId="0" applyNumberFormat="1" applyFont="1" applyFill="1" applyBorder="1" applyAlignment="1">
      <alignment horizontal="center" vertical="center"/>
    </xf>
    <xf numFmtId="10" fontId="15" fillId="3" borderId="27" xfId="0" applyNumberFormat="1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21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/>
    </xf>
    <xf numFmtId="0" fontId="15" fillId="6" borderId="35" xfId="0" applyFont="1" applyFill="1" applyBorder="1" applyAlignment="1">
      <alignment horizontal="center"/>
    </xf>
    <xf numFmtId="0" fontId="15" fillId="6" borderId="18" xfId="0" applyFont="1" applyFill="1" applyBorder="1" applyAlignment="1">
      <alignment horizontal="center"/>
    </xf>
    <xf numFmtId="0" fontId="15" fillId="6" borderId="37" xfId="0" applyFont="1" applyFill="1" applyBorder="1" applyAlignment="1">
      <alignment horizontal="center"/>
    </xf>
    <xf numFmtId="0" fontId="15" fillId="4" borderId="35" xfId="0" applyFont="1" applyFill="1" applyBorder="1" applyAlignment="1">
      <alignment horizontal="center" vertical="center"/>
    </xf>
    <xf numFmtId="0" fontId="15" fillId="4" borderId="49" xfId="0" applyFont="1" applyFill="1" applyBorder="1" applyAlignment="1">
      <alignment horizontal="center" vertical="center"/>
    </xf>
    <xf numFmtId="0" fontId="15" fillId="4" borderId="36" xfId="0" applyFont="1" applyFill="1" applyBorder="1" applyAlignment="1">
      <alignment horizontal="center" vertical="center"/>
    </xf>
    <xf numFmtId="0" fontId="15" fillId="4" borderId="52" xfId="0" applyFont="1" applyFill="1" applyBorder="1" applyAlignment="1">
      <alignment horizontal="center" vertical="center"/>
    </xf>
    <xf numFmtId="0" fontId="15" fillId="4" borderId="32" xfId="0" applyFont="1" applyFill="1" applyBorder="1" applyAlignment="1">
      <alignment horizontal="center" vertical="center"/>
    </xf>
    <xf numFmtId="0" fontId="15" fillId="4" borderId="33" xfId="0" applyFont="1" applyFill="1" applyBorder="1" applyAlignment="1">
      <alignment horizontal="center" vertical="center"/>
    </xf>
    <xf numFmtId="0" fontId="12" fillId="4" borderId="18" xfId="0" applyFont="1" applyFill="1" applyBorder="1" applyAlignment="1">
      <alignment horizontal="center" vertical="center"/>
    </xf>
    <xf numFmtId="0" fontId="12" fillId="4" borderId="4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4" borderId="35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3" fontId="10" fillId="2" borderId="19" xfId="0" applyNumberFormat="1" applyFont="1" applyFill="1" applyBorder="1" applyAlignment="1">
      <alignment horizontal="center" vertical="center" wrapText="1"/>
    </xf>
    <xf numFmtId="3" fontId="10" fillId="2" borderId="20" xfId="0" applyNumberFormat="1" applyFont="1" applyFill="1" applyBorder="1" applyAlignment="1">
      <alignment horizontal="center" vertical="center" wrapText="1"/>
    </xf>
    <xf numFmtId="3" fontId="10" fillId="2" borderId="21" xfId="0" applyNumberFormat="1" applyFont="1" applyFill="1" applyBorder="1" applyAlignment="1">
      <alignment horizontal="center" vertical="center" wrapText="1"/>
    </xf>
    <xf numFmtId="3" fontId="10" fillId="5" borderId="19" xfId="0" applyNumberFormat="1" applyFont="1" applyFill="1" applyBorder="1" applyAlignment="1">
      <alignment horizontal="center" vertical="center" wrapText="1"/>
    </xf>
    <xf numFmtId="3" fontId="10" fillId="5" borderId="20" xfId="0" applyNumberFormat="1" applyFont="1" applyFill="1" applyBorder="1" applyAlignment="1">
      <alignment horizontal="center" vertical="center" wrapText="1"/>
    </xf>
    <xf numFmtId="3" fontId="10" fillId="5" borderId="21" xfId="0" applyNumberFormat="1" applyFont="1" applyFill="1" applyBorder="1" applyAlignment="1">
      <alignment horizontal="center" vertical="center" wrapText="1"/>
    </xf>
    <xf numFmtId="3" fontId="10" fillId="5" borderId="3" xfId="0" applyNumberFormat="1" applyFont="1" applyFill="1" applyBorder="1" applyAlignment="1">
      <alignment horizontal="center" vertical="center" wrapText="1"/>
    </xf>
    <xf numFmtId="3" fontId="10" fillId="5" borderId="23" xfId="0" applyNumberFormat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3" fontId="10" fillId="2" borderId="3" xfId="0" applyNumberFormat="1" applyFont="1" applyFill="1" applyBorder="1" applyAlignment="1">
      <alignment horizontal="center" vertical="center" wrapText="1"/>
    </xf>
    <xf numFmtId="3" fontId="10" fillId="2" borderId="23" xfId="0" applyNumberFormat="1" applyFont="1" applyFill="1" applyBorder="1" applyAlignment="1">
      <alignment horizontal="center" vertical="center" wrapText="1"/>
    </xf>
    <xf numFmtId="0" fontId="10" fillId="5" borderId="35" xfId="0" applyFont="1" applyFill="1" applyBorder="1" applyAlignment="1">
      <alignment horizontal="center" vertical="center" wrapText="1"/>
    </xf>
    <xf numFmtId="0" fontId="10" fillId="5" borderId="18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horizontal="center" vertical="center" wrapText="1"/>
    </xf>
    <xf numFmtId="3" fontId="10" fillId="4" borderId="31" xfId="0" applyNumberFormat="1" applyFont="1" applyFill="1" applyBorder="1" applyAlignment="1">
      <alignment horizontal="center" vertical="center" wrapText="1"/>
    </xf>
    <xf numFmtId="3" fontId="10" fillId="4" borderId="34" xfId="0" applyNumberFormat="1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0" fontId="10" fillId="4" borderId="31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center" vertical="center" wrapText="1"/>
    </xf>
    <xf numFmtId="0" fontId="10" fillId="2" borderId="37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center" vertical="center"/>
    </xf>
    <xf numFmtId="3" fontId="10" fillId="6" borderId="3" xfId="0" applyNumberFormat="1" applyFont="1" applyFill="1" applyBorder="1" applyAlignment="1">
      <alignment horizontal="center" vertical="center" wrapText="1"/>
    </xf>
    <xf numFmtId="3" fontId="10" fillId="6" borderId="23" xfId="0" applyNumberFormat="1" applyFont="1" applyFill="1" applyBorder="1" applyAlignment="1">
      <alignment horizontal="center" vertical="center" wrapText="1"/>
    </xf>
    <xf numFmtId="3" fontId="10" fillId="6" borderId="20" xfId="0" applyNumberFormat="1" applyFont="1" applyFill="1" applyBorder="1" applyAlignment="1">
      <alignment horizontal="center" vertical="center" wrapText="1"/>
    </xf>
    <xf numFmtId="3" fontId="10" fillId="6" borderId="21" xfId="0" applyNumberFormat="1" applyFont="1" applyFill="1" applyBorder="1" applyAlignment="1">
      <alignment horizontal="center" vertical="center" wrapText="1"/>
    </xf>
    <xf numFmtId="0" fontId="14" fillId="7" borderId="41" xfId="0" applyFont="1" applyFill="1" applyBorder="1" applyAlignment="1">
      <alignment horizontal="center" vertical="center" wrapText="1"/>
    </xf>
    <xf numFmtId="0" fontId="14" fillId="7" borderId="20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5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</cellXfs>
  <cellStyles count="3">
    <cellStyle name="百分比 2" xfId="2" xr:uid="{00000000-0005-0000-0000-000001000000}"/>
    <cellStyle name="常规" xfId="0" builtinId="0"/>
    <cellStyle name="常规 2" xfId="1" xr:uid="{00000000-0005-0000-0000-000003000000}"/>
  </cellStyles>
  <dxfs count="54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/>
        </patternFill>
      </fill>
    </dxf>
    <dxf>
      <fill>
        <patternFill>
          <bgColor rgb="FFFFF3D5"/>
        </patternFill>
      </fill>
    </dxf>
    <dxf>
      <fill>
        <patternFill>
          <bgColor rgb="FFFFDF93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82" formatCode="000000"/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CCFFFF"/>
      <color rgb="FFFFF3D5"/>
      <color rgb="FFFFDF93"/>
      <color rgb="FFE4DFEC"/>
      <color rgb="FFCAE8AA"/>
      <color rgb="FFCCFF99"/>
      <color rgb="FFCCFFCC"/>
      <color rgb="FFFEDEDC"/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cat1: bartender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GSCEM v2.0rc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Graph!$H$4:$H$8</c:f>
              <c:numCache>
                <c:formatCode>#,##0</c:formatCode>
                <c:ptCount val="5"/>
                <c:pt idx="0">
                  <c:v>74595888</c:v>
                </c:pt>
                <c:pt idx="1">
                  <c:v>102012448</c:v>
                </c:pt>
                <c:pt idx="2">
                  <c:v>134259176</c:v>
                </c:pt>
                <c:pt idx="3">
                  <c:v>168416544</c:v>
                </c:pt>
                <c:pt idx="4">
                  <c:v>199840464</c:v>
                </c:pt>
              </c:numCache>
            </c:numRef>
          </c:xVal>
          <c:yVal>
            <c:numRef>
              <c:f>Graph!$J$4:$J$8</c:f>
              <c:numCache>
                <c:formatCode>0.00</c:formatCode>
                <c:ptCount val="5"/>
                <c:pt idx="0">
                  <c:v>38.160235663340302</c:v>
                </c:pt>
                <c:pt idx="1">
                  <c:v>43.811051392299902</c:v>
                </c:pt>
                <c:pt idx="2">
                  <c:v>48.799706223928197</c:v>
                </c:pt>
                <c:pt idx="3">
                  <c:v>51.998604951709702</c:v>
                </c:pt>
                <c:pt idx="4">
                  <c:v>53.876176186295901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30-41AF-A306-1EF13A334BD3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GSCEM predtrans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Graph!$M$4:$M$8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Graph!$O$4:$O$8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30-41AF-A306-1EF13A334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Total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Graph!$J$3</c:f>
              <c:strCache>
                <c:ptCount val="1"/>
                <c:pt idx="0">
                  <c:v>RGB-PSNR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cat1: bartender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GSCEM v2.0rc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Graph!$H$4:$H$8</c:f>
              <c:numCache>
                <c:formatCode>#,##0</c:formatCode>
                <c:ptCount val="5"/>
                <c:pt idx="0">
                  <c:v>74595888</c:v>
                </c:pt>
                <c:pt idx="1">
                  <c:v>102012448</c:v>
                </c:pt>
                <c:pt idx="2">
                  <c:v>134259176</c:v>
                </c:pt>
                <c:pt idx="3">
                  <c:v>168416544</c:v>
                </c:pt>
                <c:pt idx="4">
                  <c:v>199840464</c:v>
                </c:pt>
              </c:numCache>
            </c:numRef>
          </c:xVal>
          <c:yVal>
            <c:numRef>
              <c:f>Graph!$K$4:$K$8</c:f>
              <c:numCache>
                <c:formatCode>0.00</c:formatCode>
                <c:ptCount val="5"/>
                <c:pt idx="0">
                  <c:v>42.8351566267728</c:v>
                </c:pt>
                <c:pt idx="1">
                  <c:v>48.515169197478997</c:v>
                </c:pt>
                <c:pt idx="2">
                  <c:v>53.304543786513896</c:v>
                </c:pt>
                <c:pt idx="3">
                  <c:v>56.189003253164202</c:v>
                </c:pt>
                <c:pt idx="4">
                  <c:v>57.807478349336797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60-441B-A0C5-9DD9F29F41A6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GSCEM predtrans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Graph!$M$4:$M$8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Graph!$P$4:$P$8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60-441B-A0C5-9DD9F29F4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Total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Graph!$K$3</c:f>
              <c:strCache>
                <c:ptCount val="1"/>
                <c:pt idx="0">
                  <c:v>YUV-PSNR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cat1: bartender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GSCEM v2.0rc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Graph!$H$4:$H$8</c:f>
              <c:numCache>
                <c:formatCode>#,##0</c:formatCode>
                <c:ptCount val="5"/>
                <c:pt idx="0">
                  <c:v>74595888</c:v>
                </c:pt>
                <c:pt idx="1">
                  <c:v>102012448</c:v>
                </c:pt>
                <c:pt idx="2">
                  <c:v>134259176</c:v>
                </c:pt>
                <c:pt idx="3">
                  <c:v>168416544</c:v>
                </c:pt>
                <c:pt idx="4">
                  <c:v>199840464</c:v>
                </c:pt>
              </c:numCache>
            </c:numRef>
          </c:xVal>
          <c:yVal>
            <c:numRef>
              <c:f>Graph!$L$4:$L$8</c:f>
              <c:numCache>
                <c:formatCode>0.000000</c:formatCode>
                <c:ptCount val="5"/>
                <c:pt idx="0">
                  <c:v>0.99203969490223798</c:v>
                </c:pt>
                <c:pt idx="1">
                  <c:v>0.997020939461714</c:v>
                </c:pt>
                <c:pt idx="2">
                  <c:v>0.99840739181776195</c:v>
                </c:pt>
                <c:pt idx="3">
                  <c:v>0.99882803329147596</c:v>
                </c:pt>
                <c:pt idx="4">
                  <c:v>0.99906901151757099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4C-4174-9282-C84BE2A0BB4B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GSCEM predtrans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Graph!$M$4:$M$8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Graph!$Q$4:$Q$8</c:f>
              <c:numCache>
                <c:formatCode>0.000000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4C-4174-9282-C84BE2A0B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Total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Graph!$L$3</c:f>
              <c:strCache>
                <c:ptCount val="1"/>
                <c:pt idx="0">
                  <c:v>YUV-SSIM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cat1: bartender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GSCEM v2.0rc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Graph!$I$4:$I$8</c:f>
              <c:numCache>
                <c:formatCode>#,##0</c:formatCode>
                <c:ptCount val="5"/>
                <c:pt idx="0">
                  <c:v>63918728</c:v>
                </c:pt>
                <c:pt idx="1">
                  <c:v>91335288</c:v>
                </c:pt>
                <c:pt idx="2">
                  <c:v>123582016</c:v>
                </c:pt>
                <c:pt idx="3">
                  <c:v>157739496</c:v>
                </c:pt>
                <c:pt idx="4">
                  <c:v>189163416</c:v>
                </c:pt>
              </c:numCache>
            </c:numRef>
          </c:xVal>
          <c:yVal>
            <c:numRef>
              <c:f>Graph!$J$4:$J$8</c:f>
              <c:numCache>
                <c:formatCode>0.00</c:formatCode>
                <c:ptCount val="5"/>
                <c:pt idx="0">
                  <c:v>38.160235663340302</c:v>
                </c:pt>
                <c:pt idx="1">
                  <c:v>43.811051392299902</c:v>
                </c:pt>
                <c:pt idx="2">
                  <c:v>48.799706223928197</c:v>
                </c:pt>
                <c:pt idx="3">
                  <c:v>51.998604951709702</c:v>
                </c:pt>
                <c:pt idx="4">
                  <c:v>53.876176186295901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2B-492B-B591-61EFC38DC42B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GSCEM predtrans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Graph!$N$4:$N$8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Graph!$O$4:$O$8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2B-492B-B591-61EFC38DC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Attr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Graph!$J$3</c:f>
              <c:strCache>
                <c:ptCount val="1"/>
                <c:pt idx="0">
                  <c:v>RGB-PSNR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cat1: bartender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GSCEM v2.0rc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Graph!$I$4:$I$8</c:f>
              <c:numCache>
                <c:formatCode>#,##0</c:formatCode>
                <c:ptCount val="5"/>
                <c:pt idx="0">
                  <c:v>63918728</c:v>
                </c:pt>
                <c:pt idx="1">
                  <c:v>91335288</c:v>
                </c:pt>
                <c:pt idx="2">
                  <c:v>123582016</c:v>
                </c:pt>
                <c:pt idx="3">
                  <c:v>157739496</c:v>
                </c:pt>
                <c:pt idx="4">
                  <c:v>189163416</c:v>
                </c:pt>
              </c:numCache>
            </c:numRef>
          </c:xVal>
          <c:yVal>
            <c:numRef>
              <c:f>Graph!$K$4:$K$8</c:f>
              <c:numCache>
                <c:formatCode>0.00</c:formatCode>
                <c:ptCount val="5"/>
                <c:pt idx="0">
                  <c:v>42.8351566267728</c:v>
                </c:pt>
                <c:pt idx="1">
                  <c:v>48.515169197478997</c:v>
                </c:pt>
                <c:pt idx="2">
                  <c:v>53.304543786513896</c:v>
                </c:pt>
                <c:pt idx="3">
                  <c:v>56.189003253164202</c:v>
                </c:pt>
                <c:pt idx="4">
                  <c:v>57.807478349336797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3-400E-805C-64559F2C37E6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GSCEM predtrans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Graph!$N$4:$N$8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Graph!$P$4:$P$8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3-400E-805C-64559F2C3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Attr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Graph!$K$3</c:f>
              <c:strCache>
                <c:ptCount val="1"/>
                <c:pt idx="0">
                  <c:v>YUV-PSNR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Graph!$B$2</c:f>
          <c:strCache>
            <c:ptCount val="1"/>
            <c:pt idx="0">
              <c:v>cat1: bartender</c:v>
            </c:pt>
          </c:strCache>
        </c:strRef>
      </c:tx>
      <c:overlay val="0"/>
      <c:txPr>
        <a:bodyPr/>
        <a:lstStyle/>
        <a:p>
          <a:pPr>
            <a:defRPr sz="1200"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Graph!$H$1</c:f>
              <c:strCache>
                <c:ptCount val="1"/>
                <c:pt idx="0">
                  <c:v>Anchor:   GSCEM v2.0rc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xVal>
            <c:numRef>
              <c:f>Graph!$I$4:$I$8</c:f>
              <c:numCache>
                <c:formatCode>#,##0</c:formatCode>
                <c:ptCount val="5"/>
                <c:pt idx="0">
                  <c:v>63918728</c:v>
                </c:pt>
                <c:pt idx="1">
                  <c:v>91335288</c:v>
                </c:pt>
                <c:pt idx="2">
                  <c:v>123582016</c:v>
                </c:pt>
                <c:pt idx="3">
                  <c:v>157739496</c:v>
                </c:pt>
                <c:pt idx="4">
                  <c:v>189163416</c:v>
                </c:pt>
              </c:numCache>
            </c:numRef>
          </c:xVal>
          <c:yVal>
            <c:numRef>
              <c:f>Graph!$L$4:$L$8</c:f>
              <c:numCache>
                <c:formatCode>0.000000</c:formatCode>
                <c:ptCount val="5"/>
                <c:pt idx="0">
                  <c:v>0.99203969490223798</c:v>
                </c:pt>
                <c:pt idx="1">
                  <c:v>0.997020939461714</c:v>
                </c:pt>
                <c:pt idx="2">
                  <c:v>0.99840739181776195</c:v>
                </c:pt>
                <c:pt idx="3">
                  <c:v>0.99882803329147596</c:v>
                </c:pt>
                <c:pt idx="4">
                  <c:v>0.99906901151757099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E6-486C-AAED-DF2C70C294D0}"/>
            </c:ext>
          </c:extLst>
        </c:ser>
        <c:ser>
          <c:idx val="1"/>
          <c:order val="1"/>
          <c:tx>
            <c:strRef>
              <c:f>Graph!$M$1</c:f>
              <c:strCache>
                <c:ptCount val="1"/>
                <c:pt idx="0">
                  <c:v>Test:   GSCEM predtrans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noFill/>
              </a:ln>
            </c:spPr>
          </c:marker>
          <c:xVal>
            <c:numRef>
              <c:f>Graph!$N$4:$N$8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Graph!$Q$4:$Q$8</c:f>
              <c:numCache>
                <c:formatCode>0.000000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E6-486C-AAED-DF2C70C29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altLang="zh-CN" sz="1050"/>
                  <a:t>Attr bits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strRef>
              <c:f>Graph!$L$3</c:f>
              <c:strCache>
                <c:ptCount val="1"/>
                <c:pt idx="0">
                  <c:v>YUV-SSIM</c:v>
                </c:pt>
              </c:strCache>
            </c:strRef>
          </c:tx>
          <c:overlay val="0"/>
          <c:txPr>
            <a:bodyPr/>
            <a:lstStyle/>
            <a:p>
              <a:pPr>
                <a:defRPr sz="1050"/>
              </a:pPr>
              <a:endParaRPr lang="zh-CN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ja-JP" sz="10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</c:legendEntry>
      <c:layout>
        <c:manualLayout>
          <c:xMode val="edge"/>
          <c:yMode val="edge"/>
          <c:x val="7.1802307529630113E-2"/>
          <c:y val="0.880761019348688"/>
          <c:w val="0.86742517507965267"/>
          <c:h val="6.9685321256633986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1523999</xdr:colOff>
      <xdr:row>10</xdr:row>
      <xdr:rowOff>0</xdr:rowOff>
    </xdr:from>
    <xdr:to>
      <xdr:col>10</xdr:col>
      <xdr:colOff>591264</xdr:colOff>
      <xdr:row>26</xdr:row>
      <xdr:rowOff>161925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99FB5726-EF04-4861-B982-917A108E6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588541</xdr:colOff>
      <xdr:row>10</xdr:row>
      <xdr:rowOff>0</xdr:rowOff>
    </xdr:from>
    <xdr:to>
      <xdr:col>16</xdr:col>
      <xdr:colOff>714014</xdr:colOff>
      <xdr:row>26</xdr:row>
      <xdr:rowOff>158750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9DAE67FB-A72F-4B32-9F83-F84EA4477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719804</xdr:colOff>
      <xdr:row>10</xdr:row>
      <xdr:rowOff>0</xdr:rowOff>
    </xdr:from>
    <xdr:to>
      <xdr:col>23</xdr:col>
      <xdr:colOff>493040</xdr:colOff>
      <xdr:row>26</xdr:row>
      <xdr:rowOff>158750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3A273DC4-47C4-40B6-A31F-B10E3B31C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29</xdr:row>
      <xdr:rowOff>0</xdr:rowOff>
    </xdr:from>
    <xdr:to>
      <xdr:col>10</xdr:col>
      <xdr:colOff>591265</xdr:colOff>
      <xdr:row>46</xdr:row>
      <xdr:rowOff>7258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53D0B0A3-492B-4576-951A-37AAFA759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601944</xdr:colOff>
      <xdr:row>29</xdr:row>
      <xdr:rowOff>0</xdr:rowOff>
    </xdr:from>
    <xdr:to>
      <xdr:col>16</xdr:col>
      <xdr:colOff>733767</xdr:colOff>
      <xdr:row>46</xdr:row>
      <xdr:rowOff>7258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A7D3A41E-8127-4953-9F05-F05A14A97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725207</xdr:colOff>
      <xdr:row>29</xdr:row>
      <xdr:rowOff>0</xdr:rowOff>
    </xdr:from>
    <xdr:to>
      <xdr:col>23</xdr:col>
      <xdr:colOff>492093</xdr:colOff>
      <xdr:row>46</xdr:row>
      <xdr:rowOff>7258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CB281722-2FEB-4C3C-A32B-7D028766B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定义 2">
      <a:majorFont>
        <a:latin typeface="Cambria"/>
        <a:ea typeface="Cambria"/>
        <a:cs typeface=""/>
      </a:majorFont>
      <a:minorFont>
        <a:latin typeface="Calibri"/>
        <a:ea typeface="Calibri"/>
        <a:cs typeface="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33"/>
  <sheetViews>
    <sheetView tabSelected="1" zoomScale="130" zoomScaleNormal="130" workbookViewId="0">
      <selection activeCell="T26" sqref="T26"/>
    </sheetView>
  </sheetViews>
  <sheetFormatPr defaultColWidth="8.28515625" defaultRowHeight="15" x14ac:dyDescent="0.25"/>
  <cols>
    <col min="1" max="1" width="9.85546875" customWidth="1"/>
    <col min="2" max="2" width="9.85546875" style="1" customWidth="1"/>
    <col min="3" max="5" width="9.85546875" style="8" customWidth="1"/>
  </cols>
  <sheetData>
    <row r="1" spans="2:15" ht="14.25" customHeight="1" x14ac:dyDescent="0.25">
      <c r="B1" s="105" t="s">
        <v>1280</v>
      </c>
      <c r="C1" s="186" t="s">
        <v>1346</v>
      </c>
      <c r="D1" s="186"/>
      <c r="E1" s="13"/>
    </row>
    <row r="2" spans="2:15" ht="15" customHeight="1" x14ac:dyDescent="0.25">
      <c r="B2" s="106" t="s">
        <v>1281</v>
      </c>
      <c r="C2" s="187" t="s">
        <v>1356</v>
      </c>
      <c r="D2" s="187"/>
      <c r="E2" s="13"/>
      <c r="F2" s="11"/>
      <c r="G2" s="11"/>
      <c r="H2" s="11"/>
      <c r="I2" s="11"/>
    </row>
    <row r="4" spans="2:15" ht="15.75" thickBot="1" x14ac:dyDescent="0.3"/>
    <row r="5" spans="2:15" ht="15" customHeight="1" x14ac:dyDescent="0.25">
      <c r="B5" s="208" t="s">
        <v>1264</v>
      </c>
      <c r="C5" s="202" t="s">
        <v>22</v>
      </c>
      <c r="D5" s="200" t="s">
        <v>1275</v>
      </c>
      <c r="E5" s="201"/>
      <c r="F5" s="201"/>
      <c r="G5" s="192" t="s">
        <v>1276</v>
      </c>
      <c r="H5" s="193"/>
      <c r="I5" s="194"/>
      <c r="J5" s="188" t="s">
        <v>1252</v>
      </c>
      <c r="K5" s="190" t="s">
        <v>1253</v>
      </c>
      <c r="L5" s="190" t="s">
        <v>1254</v>
      </c>
      <c r="M5" s="190" t="s">
        <v>1255</v>
      </c>
      <c r="N5" s="190" t="s">
        <v>1256</v>
      </c>
      <c r="O5" s="198" t="s">
        <v>1257</v>
      </c>
    </row>
    <row r="6" spans="2:15" ht="15.75" thickBot="1" x14ac:dyDescent="0.3">
      <c r="B6" s="209"/>
      <c r="C6" s="203"/>
      <c r="D6" s="107" t="s">
        <v>1223</v>
      </c>
      <c r="E6" s="108" t="s">
        <v>1224</v>
      </c>
      <c r="F6" s="108" t="s">
        <v>1225</v>
      </c>
      <c r="G6" s="108" t="s">
        <v>1223</v>
      </c>
      <c r="H6" s="108" t="s">
        <v>1224</v>
      </c>
      <c r="I6" s="109" t="s">
        <v>1225</v>
      </c>
      <c r="J6" s="189"/>
      <c r="K6" s="191"/>
      <c r="L6" s="191"/>
      <c r="M6" s="191"/>
      <c r="N6" s="191"/>
      <c r="O6" s="199"/>
    </row>
    <row r="7" spans="2:15" x14ac:dyDescent="0.25">
      <c r="B7" s="204" t="s">
        <v>1258</v>
      </c>
      <c r="C7" s="78" t="s">
        <v>1226</v>
      </c>
      <c r="D7" s="100" t="str">
        <f ca="1">IFERROR(INDIRECT("'C1'!AS5"),"")</f>
        <v>No Test</v>
      </c>
      <c r="E7" s="81" t="str">
        <f ca="1">IFERROR(INDIRECT("'C1'!AT5"),"")</f>
        <v>No Test</v>
      </c>
      <c r="F7" s="82" t="str">
        <f ca="1">IFERROR(INDIRECT("'C1'!AU5"),"")</f>
        <v>No Test</v>
      </c>
      <c r="G7" s="80" t="str">
        <f ca="1">IFERROR(INDIRECT("'C1'!AV5"),"")</f>
        <v>No Test</v>
      </c>
      <c r="H7" s="81" t="str">
        <f ca="1">IFERROR(INDIRECT("'C1'!AW5"),"")</f>
        <v>No Test</v>
      </c>
      <c r="I7" s="87" t="str">
        <f ca="1">IFERROR(INDIRECT("'C1'!AX5"),"")</f>
        <v>No Test</v>
      </c>
      <c r="J7" s="81" t="str">
        <f ca="1">IFERROR(GEOMEAN(INDIRECT("'C1'!AM5:AM9"))/GEOMEAN(INDIRECT("'C1'!S5:S9")),"")</f>
        <v/>
      </c>
      <c r="K7" s="81" t="str">
        <f ca="1">IFERROR(GEOMEAN(INDIRECT("'C1'!AN5:AN9"))/GEOMEAN(INDIRECT("'C1'!T5:T9")),"")</f>
        <v/>
      </c>
      <c r="L7" s="81" t="str">
        <f ca="1">IFERROR(GEOMEAN(INDIRECT("'C1'!AO5:AO9"))/GEOMEAN(INDIRECT("'C1'!U5:U9")),"")</f>
        <v/>
      </c>
      <c r="M7" s="81" t="str">
        <f ca="1">IFERROR(GEOMEAN(INDIRECT("'C1'!AP5:AP9"))/GEOMEAN(INDIRECT("'C1'!V5:V9")),"")</f>
        <v/>
      </c>
      <c r="N7" s="81" t="str">
        <f ca="1">IFERROR(GEOMEAN(INDIRECT("'C1'!AQ5:AQ9"))/GEOMEAN(INDIRECT("'C1'!W5:W9")),"")</f>
        <v/>
      </c>
      <c r="O7" s="87" t="str">
        <f ca="1">IFERROR(GEOMEAN(INDIRECT("'C1'!AR5:AR9"))/GEOMEAN(INDIRECT("'C1'!X5:X9")),"")</f>
        <v/>
      </c>
    </row>
    <row r="8" spans="2:15" x14ac:dyDescent="0.25">
      <c r="B8" s="205"/>
      <c r="C8" s="79" t="s">
        <v>1227</v>
      </c>
      <c r="D8" s="101" t="str">
        <f ca="1">IFERROR(INDIRECT("'C1'!AS10"),"")</f>
        <v>No Test</v>
      </c>
      <c r="E8" s="84" t="str">
        <f ca="1">IFERROR(INDIRECT("'C1'!AT10"),"")</f>
        <v>No Test</v>
      </c>
      <c r="F8" s="85" t="str">
        <f ca="1">IFERROR(INDIRECT("'C1'!AU10"),"")</f>
        <v>No Test</v>
      </c>
      <c r="G8" s="83" t="str">
        <f ca="1">IFERROR(INDIRECT("'C1'!AV10"),"")</f>
        <v>No Test</v>
      </c>
      <c r="H8" s="84" t="str">
        <f ca="1">IFERROR(INDIRECT("'C1'!AW10"),"")</f>
        <v>No Test</v>
      </c>
      <c r="I8" s="88" t="str">
        <f ca="1">IFERROR(INDIRECT("'C1'!AX10"),"")</f>
        <v>No Test</v>
      </c>
      <c r="J8" s="84" t="str">
        <f ca="1">IFERROR(GEOMEAN(INDIRECT("'C1'!AM10:AM14"))/GEOMEAN(INDIRECT("'C1'!S10:S14")),"")</f>
        <v/>
      </c>
      <c r="K8" s="84" t="str">
        <f ca="1">IFERROR(GEOMEAN(INDIRECT("'C1'!AN10:AN14"))/GEOMEAN(INDIRECT("'C1'!T10:T14")),"")</f>
        <v/>
      </c>
      <c r="L8" s="84" t="str">
        <f ca="1">IFERROR(GEOMEAN(INDIRECT("'C1'!AO10:AO14"))/GEOMEAN(INDIRECT("'C1'!U10:U14")),"")</f>
        <v/>
      </c>
      <c r="M8" s="84" t="str">
        <f ca="1">IFERROR(GEOMEAN(INDIRECT("'C1'!AP10:AP14"))/GEOMEAN(INDIRECT("'C1'!V10:V14")),"")</f>
        <v/>
      </c>
      <c r="N8" s="84" t="str">
        <f ca="1">IFERROR(GEOMEAN(INDIRECT("'C1'!AQ10:AQ14"))/GEOMEAN(INDIRECT("'C1'!W10:W14")),"")</f>
        <v/>
      </c>
      <c r="O8" s="88" t="str">
        <f ca="1">IFERROR(GEOMEAN(INDIRECT("'C1'!AR10:AR14"))/GEOMEAN(INDIRECT("'C1'!X10:X14")),"")</f>
        <v/>
      </c>
    </row>
    <row r="9" spans="2:15" ht="15.75" thickBot="1" x14ac:dyDescent="0.3">
      <c r="B9" s="205"/>
      <c r="C9" s="79" t="s">
        <v>1341</v>
      </c>
      <c r="D9" s="101" t="str">
        <f ca="1">IFERROR(INDIRECT("'C1'!AS15"),"")</f>
        <v>No Test</v>
      </c>
      <c r="E9" s="84" t="str">
        <f ca="1">IFERROR(INDIRECT("'C1'!AT15"),"")</f>
        <v>No Test</v>
      </c>
      <c r="F9" s="85" t="str">
        <f ca="1">IFERROR(INDIRECT("'C1'!AU15"),"")</f>
        <v>No Test</v>
      </c>
      <c r="G9" s="83" t="str">
        <f ca="1">IFERROR(INDIRECT("'C1'!AV15"),"")</f>
        <v>No Test</v>
      </c>
      <c r="H9" s="84" t="str">
        <f ca="1">IFERROR(INDIRECT("'C1'!AW15"),"")</f>
        <v>No Test</v>
      </c>
      <c r="I9" s="88" t="str">
        <f ca="1">IFERROR(INDIRECT("'C1'!AX15"),"")</f>
        <v>No Test</v>
      </c>
      <c r="J9" s="84" t="str">
        <f ca="1">IFERROR(GEOMEAN(INDIRECT("'C1'!AM15:AM19"))/GEOMEAN(INDIRECT("'C1'!S15:S19")),"")</f>
        <v/>
      </c>
      <c r="K9" s="84" t="str">
        <f ca="1">IFERROR(GEOMEAN(INDIRECT("'C1'!AN15:AN19"))/GEOMEAN(INDIRECT("'C1'!T15:T19")),"")</f>
        <v/>
      </c>
      <c r="L9" s="84" t="str">
        <f ca="1">IFERROR(GEOMEAN(INDIRECT("'C1'!AO15:AO19"))/GEOMEAN(INDIRECT("'C1'!U15:U19")),"")</f>
        <v/>
      </c>
      <c r="M9" s="84" t="str">
        <f ca="1">IFERROR(GEOMEAN(INDIRECT("'C1'!AP15:AP19"))/GEOMEAN(INDIRECT("'C1'!V15:V19")),"")</f>
        <v/>
      </c>
      <c r="N9" s="84" t="str">
        <f ca="1">IFERROR(GEOMEAN(INDIRECT("'C1'!AQ15:AQ19"))/GEOMEAN(INDIRECT("'C1'!W15:W19")),"")</f>
        <v/>
      </c>
      <c r="O9" s="88" t="str">
        <f ca="1">IFERROR(GEOMEAN(INDIRECT("'C1'!AR15:AR19"))/GEOMEAN(INDIRECT("'C1'!X15:X19")),"")</f>
        <v/>
      </c>
    </row>
    <row r="10" spans="2:15" x14ac:dyDescent="0.25">
      <c r="B10" s="204" t="s">
        <v>1259</v>
      </c>
      <c r="C10" s="78" t="s">
        <v>1245</v>
      </c>
      <c r="D10" s="100" t="str">
        <f ca="1">IFERROR(INDIRECT("'C1'!AS20"),"")</f>
        <v>No Test</v>
      </c>
      <c r="E10" s="81" t="str">
        <f ca="1">IFERROR(INDIRECT("'C1'!AT20"),"")</f>
        <v>No Test</v>
      </c>
      <c r="F10" s="82" t="str">
        <f ca="1">IFERROR(INDIRECT("'C1'!AU20"),"")</f>
        <v>No Test</v>
      </c>
      <c r="G10" s="80" t="str">
        <f ca="1">IFERROR(INDIRECT("'C1'!AV20"),"")</f>
        <v>No Test</v>
      </c>
      <c r="H10" s="81" t="str">
        <f ca="1">IFERROR(INDIRECT("'C1'!AW20"),"")</f>
        <v>No Test</v>
      </c>
      <c r="I10" s="87" t="str">
        <f ca="1">IFERROR(INDIRECT("'C1'!AX20"),"")</f>
        <v>No Test</v>
      </c>
      <c r="J10" s="81" t="str">
        <f ca="1">IFERROR(GEOMEAN(INDIRECT("'C1'!AM20:AM24"))/GEOMEAN(INDIRECT("'C1'!S20:S24")),"")</f>
        <v/>
      </c>
      <c r="K10" s="81" t="str">
        <f ca="1">IFERROR(GEOMEAN(INDIRECT("'C1'!AN20:AN24"))/GEOMEAN(INDIRECT("'C1'!T20:T24")),"")</f>
        <v/>
      </c>
      <c r="L10" s="81" t="str">
        <f ca="1">IFERROR(GEOMEAN(INDIRECT("'C1'!AO20:AO24"))/GEOMEAN(INDIRECT("'C1'!U20:U24")),"")</f>
        <v/>
      </c>
      <c r="M10" s="81" t="str">
        <f ca="1">IFERROR(GEOMEAN(INDIRECT("'C1'!AP20:AP24"))/GEOMEAN(INDIRECT("'C1'!V20:V24")),"")</f>
        <v/>
      </c>
      <c r="N10" s="81" t="str">
        <f ca="1">IFERROR(GEOMEAN(INDIRECT("'C1'!AQ20:AQ24"))/GEOMEAN(INDIRECT("'C1'!W20:W24")),"")</f>
        <v/>
      </c>
      <c r="O10" s="87" t="str">
        <f ca="1">IFERROR(GEOMEAN(INDIRECT("'C1'!AR20:AR24"))/GEOMEAN(INDIRECT("'C1'!X20:X24")),"")</f>
        <v/>
      </c>
    </row>
    <row r="11" spans="2:15" x14ac:dyDescent="0.25">
      <c r="B11" s="205"/>
      <c r="C11" s="79" t="s">
        <v>1246</v>
      </c>
      <c r="D11" s="101" t="str">
        <f ca="1">IFERROR(INDIRECT("'C1'!AS25"),"")</f>
        <v>No Test</v>
      </c>
      <c r="E11" s="84" t="str">
        <f ca="1">IFERROR(INDIRECT("'C1'!AT25"),"")</f>
        <v>No Test</v>
      </c>
      <c r="F11" s="85" t="str">
        <f ca="1">IFERROR(INDIRECT("'C1'!AU25"),"")</f>
        <v>No Test</v>
      </c>
      <c r="G11" s="83" t="str">
        <f ca="1">IFERROR(INDIRECT("'C1'!AV25"),"")</f>
        <v>No Test</v>
      </c>
      <c r="H11" s="84" t="str">
        <f ca="1">IFERROR(INDIRECT("'C1'!AW25"),"")</f>
        <v>No Test</v>
      </c>
      <c r="I11" s="88" t="str">
        <f ca="1">IFERROR(INDIRECT("'C1'!AX25"),"")</f>
        <v>No Test</v>
      </c>
      <c r="J11" s="84" t="str">
        <f ca="1">IFERROR(GEOMEAN(INDIRECT("'C1'!AM25:AM29"))/GEOMEAN(INDIRECT("'C1'!S25:S29")),"")</f>
        <v/>
      </c>
      <c r="K11" s="84" t="str">
        <f ca="1">IFERROR(GEOMEAN(INDIRECT("'C1'!AN25:AN29"))/GEOMEAN(INDIRECT("'C1'!T25:T29")),"")</f>
        <v/>
      </c>
      <c r="L11" s="84" t="str">
        <f ca="1">IFERROR(GEOMEAN(INDIRECT("'C1'!AO25:AO29"))/GEOMEAN(INDIRECT("'C1'!U25:U29")),"")</f>
        <v/>
      </c>
      <c r="M11" s="84" t="str">
        <f ca="1">IFERROR(GEOMEAN(INDIRECT("'C1'!AP25:AP29"))/GEOMEAN(INDIRECT("'C1'!V25:V29")),"")</f>
        <v/>
      </c>
      <c r="N11" s="84" t="str">
        <f ca="1">IFERROR(GEOMEAN(INDIRECT("'C1'!AQ25:AQ29"))/GEOMEAN(INDIRECT("'C1'!W25:W29")),"")</f>
        <v/>
      </c>
      <c r="O11" s="88" t="str">
        <f ca="1">IFERROR(GEOMEAN(INDIRECT("'C1'!AR25:AR29"))/GEOMEAN(INDIRECT("'C1'!X25:X29")),"")</f>
        <v/>
      </c>
    </row>
    <row r="12" spans="2:15" x14ac:dyDescent="0.25">
      <c r="B12" s="205"/>
      <c r="C12" s="79" t="s">
        <v>1248</v>
      </c>
      <c r="D12" s="101" t="str">
        <f ca="1">IFERROR(INDIRECT("'C1'!AS30"),"")</f>
        <v>No Test</v>
      </c>
      <c r="E12" s="84" t="str">
        <f ca="1">IFERROR(INDIRECT("'C1'!AT30"),"")</f>
        <v>No Test</v>
      </c>
      <c r="F12" s="85" t="str">
        <f ca="1">IFERROR(INDIRECT("'C1'!AU30"),"")</f>
        <v>No Test</v>
      </c>
      <c r="G12" s="83" t="str">
        <f ca="1">IFERROR(INDIRECT("'C1'!AV30"),"")</f>
        <v>No Test</v>
      </c>
      <c r="H12" s="84" t="str">
        <f ca="1">IFERROR(INDIRECT("'C1'!AW30"),"")</f>
        <v>No Test</v>
      </c>
      <c r="I12" s="88" t="str">
        <f ca="1">IFERROR(INDIRECT("'C1'!AX30"),"")</f>
        <v>No Test</v>
      </c>
      <c r="J12" s="84" t="str">
        <f ca="1">IFERROR(GEOMEAN(INDIRECT("'C1'!AM30:AM34"))/GEOMEAN(INDIRECT("'C1'!S30:S34")),"")</f>
        <v/>
      </c>
      <c r="K12" s="84" t="str">
        <f ca="1">IFERROR(GEOMEAN(INDIRECT("'C1'!AN30:AN34"))/GEOMEAN(INDIRECT("'C1'!T30:T34")),"")</f>
        <v/>
      </c>
      <c r="L12" s="84" t="str">
        <f ca="1">IFERROR(GEOMEAN(INDIRECT("'C1'!AO30:AO34"))/GEOMEAN(INDIRECT("'C1'!U30:U34")),"")</f>
        <v/>
      </c>
      <c r="M12" s="84" t="str">
        <f ca="1">IFERROR(GEOMEAN(INDIRECT("'C1'!AP30:AP34"))/GEOMEAN(INDIRECT("'C1'!V30:V34")),"")</f>
        <v/>
      </c>
      <c r="N12" s="84" t="str">
        <f ca="1">IFERROR(GEOMEAN(INDIRECT("'C1'!AQ30:AQ34"))/GEOMEAN(INDIRECT("'C1'!W30:W34")),"")</f>
        <v/>
      </c>
      <c r="O12" s="88" t="str">
        <f ca="1">IFERROR(GEOMEAN(INDIRECT("'C1'!AR30:AR34"))/GEOMEAN(INDIRECT("'C1'!X30:X34")),"")</f>
        <v/>
      </c>
    </row>
    <row r="13" spans="2:15" x14ac:dyDescent="0.25">
      <c r="B13" s="206"/>
      <c r="C13" s="185" t="s">
        <v>1247</v>
      </c>
      <c r="D13" s="101" t="str">
        <f ca="1">IFERROR(INDIRECT("'C1'!AS35"),"")</f>
        <v>No Test</v>
      </c>
      <c r="E13" s="84" t="str">
        <f ca="1">IFERROR(INDIRECT("'C1'!AT35"),"")</f>
        <v>No Test</v>
      </c>
      <c r="F13" s="85" t="str">
        <f ca="1">IFERROR(INDIRECT("'C1'!AU35"),"")</f>
        <v>No Test</v>
      </c>
      <c r="G13" s="83" t="str">
        <f ca="1">IFERROR(INDIRECT("'C1'!AV35"),"")</f>
        <v>No Test</v>
      </c>
      <c r="H13" s="84" t="str">
        <f ca="1">IFERROR(INDIRECT("'C1'!AW35"),"")</f>
        <v>No Test</v>
      </c>
      <c r="I13" s="88" t="str">
        <f ca="1">IFERROR(INDIRECT("'C1'!AX35"),"")</f>
        <v>No Test</v>
      </c>
      <c r="J13" s="84" t="str">
        <f ca="1">IFERROR(GEOMEAN(INDIRECT("'C1'!AM35:AM39"))/GEOMEAN(INDIRECT("'C1'!S35:S39")),"")</f>
        <v/>
      </c>
      <c r="K13" s="84" t="str">
        <f ca="1">IFERROR(GEOMEAN(INDIRECT("'C1'!AN35:AN39"))/GEOMEAN(INDIRECT("'C1'!T35:T39")),"")</f>
        <v/>
      </c>
      <c r="L13" s="84" t="str">
        <f ca="1">IFERROR(GEOMEAN(INDIRECT("'C1'!AO35:AO39"))/GEOMEAN(INDIRECT("'C1'!U35:U39")),"")</f>
        <v/>
      </c>
      <c r="M13" s="84" t="str">
        <f ca="1">IFERROR(GEOMEAN(INDIRECT("'C1'!AP35:AP39"))/GEOMEAN(INDIRECT("'C1'!V35:V39")),"")</f>
        <v/>
      </c>
      <c r="N13" s="84" t="str">
        <f ca="1">IFERROR(GEOMEAN(INDIRECT("'C1'!AQ35:AQ39"))/GEOMEAN(INDIRECT("'C1'!W35:W39")),"")</f>
        <v/>
      </c>
      <c r="O13" s="88" t="str">
        <f ca="1">IFERROR(GEOMEAN(INDIRECT("'C1'!AR35:AR39"))/GEOMEAN(INDIRECT("'C1'!X35:X39")),"")</f>
        <v/>
      </c>
    </row>
    <row r="14" spans="2:15" x14ac:dyDescent="0.25">
      <c r="B14" s="206"/>
      <c r="C14" s="184" t="s">
        <v>1243</v>
      </c>
      <c r="D14" s="101" t="str">
        <f ca="1">IFERROR(INDIRECT("'C1'!AS40"),"")</f>
        <v>No Test</v>
      </c>
      <c r="E14" s="84" t="str">
        <f ca="1">IFERROR(INDIRECT("'C1'!AT40"),"")</f>
        <v>No Test</v>
      </c>
      <c r="F14" s="85" t="str">
        <f ca="1">IFERROR(INDIRECT("'C1'!AU40"),"")</f>
        <v>No Test</v>
      </c>
      <c r="G14" s="83" t="str">
        <f ca="1">IFERROR(INDIRECT("'C1'!AV40"),"")</f>
        <v>No Test</v>
      </c>
      <c r="H14" s="84" t="str">
        <f ca="1">IFERROR(INDIRECT("'C1'!AW40"),"")</f>
        <v>No Test</v>
      </c>
      <c r="I14" s="88" t="str">
        <f ca="1">IFERROR(INDIRECT("'C1'!AX40"),"")</f>
        <v>No Test</v>
      </c>
      <c r="J14" s="84" t="str">
        <f ca="1">IFERROR(GEOMEAN(INDIRECT("'C1'!AM40:AM44"))/GEOMEAN(INDIRECT("'C1'!S40:S44")),"")</f>
        <v/>
      </c>
      <c r="K14" s="84" t="str">
        <f ca="1">IFERROR(GEOMEAN(INDIRECT("'C1'!AN40:AN44"))/GEOMEAN(INDIRECT("'C1'!T40:T44")),"")</f>
        <v/>
      </c>
      <c r="L14" s="84" t="str">
        <f ca="1">IFERROR(GEOMEAN(INDIRECT("'C1'!AO40:AO44"))/GEOMEAN(INDIRECT("'C1'!U40:U44")),"")</f>
        <v/>
      </c>
      <c r="M14" s="84" t="str">
        <f ca="1">IFERROR(GEOMEAN(INDIRECT("'C1'!AP40:AP44"))/GEOMEAN(INDIRECT("'C1'!V40:V44")),"")</f>
        <v/>
      </c>
      <c r="N14" s="84" t="str">
        <f ca="1">IFERROR(GEOMEAN(INDIRECT("'C1'!AQ40:AQ44"))/GEOMEAN(INDIRECT("'C1'!W40:W44")),"")</f>
        <v/>
      </c>
      <c r="O14" s="88" t="str">
        <f ca="1">IFERROR(GEOMEAN(INDIRECT("'C1'!AR40:AR44"))/GEOMEAN(INDIRECT("'C1'!X40:X44")),"")</f>
        <v/>
      </c>
    </row>
    <row r="15" spans="2:15" x14ac:dyDescent="0.25">
      <c r="B15" s="206"/>
      <c r="C15" s="156" t="s">
        <v>1244</v>
      </c>
      <c r="D15" s="101" t="str">
        <f ca="1">IFERROR(INDIRECT("'C1'!AS45"),"")</f>
        <v>No Test</v>
      </c>
      <c r="E15" s="84" t="str">
        <f ca="1">IFERROR(INDIRECT("'C1'!AT45"),"")</f>
        <v>No Test</v>
      </c>
      <c r="F15" s="85" t="str">
        <f ca="1">IFERROR(INDIRECT("'C1'!AU45"),"")</f>
        <v>No Test</v>
      </c>
      <c r="G15" s="83" t="str">
        <f ca="1">IFERROR(INDIRECT("'C1'!AV45"),"")</f>
        <v>No Test</v>
      </c>
      <c r="H15" s="84" t="str">
        <f ca="1">IFERROR(INDIRECT("'C1'!AW45"),"")</f>
        <v>No Test</v>
      </c>
      <c r="I15" s="88" t="str">
        <f ca="1">IFERROR(INDIRECT("'C1'!AX45"),"")</f>
        <v>No Test</v>
      </c>
      <c r="J15" s="84" t="str">
        <f ca="1">IFERROR(GEOMEAN(INDIRECT("'C1'!AM45:AM49"))/GEOMEAN(INDIRECT("'C1'!S45:S49")),"")</f>
        <v/>
      </c>
      <c r="K15" s="84" t="str">
        <f ca="1">IFERROR(GEOMEAN(INDIRECT("'C1'!AN45:AN49"))/GEOMEAN(INDIRECT("'C1'!T45:T49")),"")</f>
        <v/>
      </c>
      <c r="L15" s="84" t="str">
        <f ca="1">IFERROR(GEOMEAN(INDIRECT("'C1'!AO45:AO49"))/GEOMEAN(INDIRECT("'C1'!U45:U49")),"")</f>
        <v/>
      </c>
      <c r="M15" s="84" t="str">
        <f ca="1">IFERROR(GEOMEAN(INDIRECT("'C1'!AP45:AP49"))/GEOMEAN(INDIRECT("'C1'!V45:V49")),"")</f>
        <v/>
      </c>
      <c r="N15" s="84" t="str">
        <f ca="1">IFERROR(GEOMEAN(INDIRECT("'C1'!AQ45:AQ49"))/GEOMEAN(INDIRECT("'C1'!W45:W49")),"")</f>
        <v/>
      </c>
      <c r="O15" s="88" t="str">
        <f ca="1">IFERROR(GEOMEAN(INDIRECT("'C1'!AR45:AR49"))/GEOMEAN(INDIRECT("'C1'!X45:X49")),"")</f>
        <v/>
      </c>
    </row>
    <row r="16" spans="2:15" x14ac:dyDescent="0.25">
      <c r="B16" s="206"/>
      <c r="C16" s="156" t="s">
        <v>1342</v>
      </c>
      <c r="D16" s="101" t="str">
        <f ca="1">IFERROR(INDIRECT("'C1'!AS50"),"")</f>
        <v>No Test</v>
      </c>
      <c r="E16" s="84" t="str">
        <f ca="1">IFERROR(INDIRECT("'C1'!AT50"),"")</f>
        <v>No Test</v>
      </c>
      <c r="F16" s="85" t="str">
        <f ca="1">IFERROR(INDIRECT("'C1'!AU50"),"")</f>
        <v>No Test</v>
      </c>
      <c r="G16" s="83" t="str">
        <f ca="1">IFERROR(INDIRECT("'C1'!AV50"),"")</f>
        <v>No Test</v>
      </c>
      <c r="H16" s="84" t="str">
        <f ca="1">IFERROR(INDIRECT("'C1'!AW50"),"")</f>
        <v>No Test</v>
      </c>
      <c r="I16" s="88" t="str">
        <f ca="1">IFERROR(INDIRECT("'C1'!AX50"),"")</f>
        <v>No Test</v>
      </c>
      <c r="J16" s="84" t="str">
        <f ca="1">IFERROR(GEOMEAN(INDIRECT("'C1'!AM50:AM54"))/GEOMEAN(INDIRECT("'C1'!S50:S54")),"")</f>
        <v/>
      </c>
      <c r="K16" s="84" t="str">
        <f ca="1">IFERROR(GEOMEAN(INDIRECT("'C1'!AN50:AN54"))/GEOMEAN(INDIRECT("'C1'!T50:T54")),"")</f>
        <v/>
      </c>
      <c r="L16" s="84" t="str">
        <f ca="1">IFERROR(GEOMEAN(INDIRECT("'C1'!AO50:AO54"))/GEOMEAN(INDIRECT("'C1'!U50:U54")),"")</f>
        <v/>
      </c>
      <c r="M16" s="84" t="str">
        <f ca="1">IFERROR(GEOMEAN(INDIRECT("'C1'!AP50:AP54"))/GEOMEAN(INDIRECT("'C1'!V50:V54")),"")</f>
        <v/>
      </c>
      <c r="N16" s="84" t="str">
        <f ca="1">IFERROR(GEOMEAN(INDIRECT("'C1'!AQ50:AQ54"))/GEOMEAN(INDIRECT("'C1'!W50:W54")),"")</f>
        <v/>
      </c>
      <c r="O16" s="88" t="str">
        <f ca="1">IFERROR(GEOMEAN(INDIRECT("'C1'!AR50:AR54"))/GEOMEAN(INDIRECT("'C1'!X50:X54")),"")</f>
        <v/>
      </c>
    </row>
    <row r="17" spans="2:15" x14ac:dyDescent="0.25">
      <c r="B17" s="206"/>
      <c r="C17" s="156" t="s">
        <v>1343</v>
      </c>
      <c r="D17" s="101" t="str">
        <f ca="1">IFERROR(INDIRECT("'C1'!AS55"),"")</f>
        <v>No Test</v>
      </c>
      <c r="E17" s="84" t="str">
        <f ca="1">IFERROR(INDIRECT("'C1'!AT55"),"")</f>
        <v>No Test</v>
      </c>
      <c r="F17" s="85" t="str">
        <f ca="1">IFERROR(INDIRECT("'C1'!AU55"),"")</f>
        <v>No Test</v>
      </c>
      <c r="G17" s="83" t="str">
        <f ca="1">IFERROR(INDIRECT("'C1'!AV55"),"")</f>
        <v>No Test</v>
      </c>
      <c r="H17" s="84" t="str">
        <f ca="1">IFERROR(INDIRECT("'C1'!AW55"),"")</f>
        <v>No Test</v>
      </c>
      <c r="I17" s="88" t="str">
        <f ca="1">IFERROR(INDIRECT("'C1'!AX55"),"")</f>
        <v>No Test</v>
      </c>
      <c r="J17" s="84" t="str">
        <f ca="1">IFERROR(GEOMEAN(INDIRECT("'C1'!AM55:AM59"))/GEOMEAN(INDIRECT("'C1'!S55:S59")),"")</f>
        <v/>
      </c>
      <c r="K17" s="84" t="str">
        <f ca="1">IFERROR(GEOMEAN(INDIRECT("'C1'!AN55:AN59"))/GEOMEAN(INDIRECT("'C1'!T55:T59")),"")</f>
        <v/>
      </c>
      <c r="L17" s="84" t="str">
        <f ca="1">IFERROR(GEOMEAN(INDIRECT("'C1'!AO55:AO59"))/GEOMEAN(INDIRECT("'C1'!U55:U59")),"")</f>
        <v/>
      </c>
      <c r="M17" s="84" t="str">
        <f ca="1">IFERROR(GEOMEAN(INDIRECT("'C1'!AP55:AP59"))/GEOMEAN(INDIRECT("'C1'!V55:V59")),"")</f>
        <v/>
      </c>
      <c r="N17" s="84" t="str">
        <f ca="1">IFERROR(GEOMEAN(INDIRECT("'C1'!AQ55:AQ59"))/GEOMEAN(INDIRECT("'C1'!W55:W59")),"")</f>
        <v/>
      </c>
      <c r="O17" s="88" t="str">
        <f ca="1">IFERROR(GEOMEAN(INDIRECT("'C1'!AR55:AR59"))/GEOMEAN(INDIRECT("'C1'!X55:X59")),"")</f>
        <v/>
      </c>
    </row>
    <row r="18" spans="2:15" x14ac:dyDescent="0.25">
      <c r="B18" s="206"/>
      <c r="C18" s="156" t="s">
        <v>1344</v>
      </c>
      <c r="D18" s="101" t="str">
        <f ca="1">IFERROR(INDIRECT("'C1'!AS60"),"")</f>
        <v>No Test</v>
      </c>
      <c r="E18" s="84" t="str">
        <f ca="1">IFERROR(INDIRECT("'C1'!AT60"),"")</f>
        <v>No Test</v>
      </c>
      <c r="F18" s="85" t="str">
        <f ca="1">IFERROR(INDIRECT("'C1'!AU60"),"")</f>
        <v>No Test</v>
      </c>
      <c r="G18" s="83" t="str">
        <f ca="1">IFERROR(INDIRECT("'C1'!AV60"),"")</f>
        <v>No Test</v>
      </c>
      <c r="H18" s="84" t="str">
        <f ca="1">IFERROR(INDIRECT("'C1'!AW60"),"")</f>
        <v>No Test</v>
      </c>
      <c r="I18" s="88" t="str">
        <f ca="1">IFERROR(INDIRECT("'C1'!AX60"),"")</f>
        <v>No Test</v>
      </c>
      <c r="J18" s="84" t="str">
        <f ca="1">IFERROR(GEOMEAN(INDIRECT("'C1'!AM60:AM64"))/GEOMEAN(INDIRECT("'C1'!S60:S64")),"")</f>
        <v/>
      </c>
      <c r="K18" s="84" t="str">
        <f ca="1">IFERROR(GEOMEAN(INDIRECT("'C1'!AN60:AN64"))/GEOMEAN(INDIRECT("'C1'!T60:T64")),"")</f>
        <v/>
      </c>
      <c r="L18" s="84" t="str">
        <f ca="1">IFERROR(GEOMEAN(INDIRECT("'C1'!AO60:AO64"))/GEOMEAN(INDIRECT("'C1'!U60:U64")),"")</f>
        <v/>
      </c>
      <c r="M18" s="84" t="str">
        <f ca="1">IFERROR(GEOMEAN(INDIRECT("'C1'!AP60:AP64"))/GEOMEAN(INDIRECT("'C1'!V60:V64")),"")</f>
        <v/>
      </c>
      <c r="N18" s="84" t="str">
        <f ca="1">IFERROR(GEOMEAN(INDIRECT("'C1'!AQ60:AQ64"))/GEOMEAN(INDIRECT("'C1'!W60:W64")),"")</f>
        <v/>
      </c>
      <c r="O18" s="88" t="str">
        <f ca="1">IFERROR(GEOMEAN(INDIRECT("'C1'!AR60:AR64"))/GEOMEAN(INDIRECT("'C1'!X60:X64")),"")</f>
        <v/>
      </c>
    </row>
    <row r="19" spans="2:15" ht="15.75" thickBot="1" x14ac:dyDescent="0.3">
      <c r="B19" s="207"/>
      <c r="C19" s="79" t="s">
        <v>1345</v>
      </c>
      <c r="D19" s="101" t="str">
        <f ca="1">IFERROR(INDIRECT("'C1'!AS65"),"")</f>
        <v>No Test</v>
      </c>
      <c r="E19" s="91" t="str">
        <f ca="1">IFERROR(INDIRECT("'C1'!AT65"),"")</f>
        <v>No Test</v>
      </c>
      <c r="F19" s="92" t="str">
        <f ca="1">IFERROR(INDIRECT("'C1'!AU65"),"")</f>
        <v>No Test</v>
      </c>
      <c r="G19" s="90" t="str">
        <f ca="1">IFERROR(INDIRECT("'C1'!AV65"),"")</f>
        <v>No Test</v>
      </c>
      <c r="H19" s="91" t="str">
        <f ca="1">IFERROR(INDIRECT("'C1'!AW65"),"")</f>
        <v>No Test</v>
      </c>
      <c r="I19" s="93" t="str">
        <f ca="1">IFERROR(INDIRECT("'C1'!AX65"),"")</f>
        <v>No Test</v>
      </c>
      <c r="J19" s="91" t="str">
        <f ca="1">IFERROR(GEOMEAN(INDIRECT("'C1'!AM65:AM69"))/GEOMEAN(INDIRECT("'C1'!S65:S69")),"")</f>
        <v/>
      </c>
      <c r="K19" s="91" t="str">
        <f ca="1">IFERROR(GEOMEAN(INDIRECT("'C1'!AN65:AN69"))/GEOMEAN(INDIRECT("'C1'!T65:T69")),"")</f>
        <v/>
      </c>
      <c r="L19" s="91" t="str">
        <f ca="1">IFERROR(GEOMEAN(INDIRECT("'C1'!AO65:AO69"))/GEOMEAN(INDIRECT("'C1'!U65:U69")),"")</f>
        <v/>
      </c>
      <c r="M19" s="91" t="str">
        <f ca="1">IFERROR(GEOMEAN(INDIRECT("'C1'!AP65:AP69"))/GEOMEAN(INDIRECT("'C1'!V65:V69")),"")</f>
        <v/>
      </c>
      <c r="N19" s="91" t="str">
        <f ca="1">IFERROR(GEOMEAN(INDIRECT("'C1'!AQ65:AQ69"))/GEOMEAN(INDIRECT("'C1'!W65:W69")),"")</f>
        <v/>
      </c>
      <c r="O19" s="93" t="str">
        <f ca="1">IFERROR(GEOMEAN(INDIRECT("'C1'!AR65:AR69"))/GEOMEAN(INDIRECT("'C1'!X65:X69")),"")</f>
        <v/>
      </c>
    </row>
    <row r="20" spans="2:15" x14ac:dyDescent="0.25">
      <c r="B20" s="195" t="s">
        <v>1323</v>
      </c>
      <c r="C20" s="158" t="s">
        <v>1313</v>
      </c>
      <c r="D20" s="100" t="str">
        <f ca="1">IFERROR(INDIRECT("'C1'!AS70"),"")</f>
        <v>No Test</v>
      </c>
      <c r="E20" s="81" t="str">
        <f ca="1">IFERROR(INDIRECT("'C1'!AT70"),"")</f>
        <v>No Test</v>
      </c>
      <c r="F20" s="82" t="str">
        <f ca="1">IFERROR(INDIRECT("'C1'!AU70"),"")</f>
        <v>No Test</v>
      </c>
      <c r="G20" s="81" t="str">
        <f ca="1">IFERROR(INDIRECT("'C1'!AV70"),"")</f>
        <v>No Test</v>
      </c>
      <c r="H20" s="81" t="str">
        <f ca="1">IFERROR(INDIRECT("'C1'!AW70"),"")</f>
        <v>No Test</v>
      </c>
      <c r="I20" s="87" t="str">
        <f ca="1">IFERROR(INDIRECT("'C1'!AX70"),"")</f>
        <v>No Test</v>
      </c>
      <c r="J20" s="100" t="str">
        <f ca="1">IFERROR(GEOMEAN(INDIRECT("'C1'!AM70:AM74"))/GEOMEAN(INDIRECT("'C1'!S70:S74")),"")</f>
        <v/>
      </c>
      <c r="K20" s="81" t="str">
        <f ca="1">IFERROR(GEOMEAN(INDIRECT("'C1'!AN70:AN74"))/GEOMEAN(INDIRECT("'C1'!T70:T74")),"")</f>
        <v/>
      </c>
      <c r="L20" s="81" t="str">
        <f ca="1">IFERROR(GEOMEAN(INDIRECT("'C1'!AO70:AO74"))/GEOMEAN(INDIRECT("'C1'!U70:U74")),"")</f>
        <v/>
      </c>
      <c r="M20" s="81" t="str">
        <f ca="1">IFERROR(GEOMEAN(INDIRECT("'C1'!AP70:AP74"))/GEOMEAN(INDIRECT("'C1'!V70:V74")),"")</f>
        <v/>
      </c>
      <c r="N20" s="81" t="str">
        <f ca="1">IFERROR(GEOMEAN(INDIRECT("'C1'!AQ70:AQ74"))/GEOMEAN(INDIRECT("'C1'!W70:W74")),"")</f>
        <v/>
      </c>
      <c r="O20" s="87" t="str">
        <f ca="1">IFERROR(GEOMEAN(INDIRECT("'C1'!AR70:AR74"))/GEOMEAN(INDIRECT("'C1'!X70:X74")),"")</f>
        <v/>
      </c>
    </row>
    <row r="21" spans="2:15" x14ac:dyDescent="0.25">
      <c r="B21" s="196"/>
      <c r="C21" s="155" t="s">
        <v>1314</v>
      </c>
      <c r="D21" s="101" t="str">
        <f ca="1">IFERROR(INDIRECT("'C1'!AS75"),"")</f>
        <v>No Test</v>
      </c>
      <c r="E21" s="84" t="str">
        <f ca="1">IFERROR(INDIRECT("'C1'!AT75"),"")</f>
        <v>No Test</v>
      </c>
      <c r="F21" s="85" t="str">
        <f ca="1">IFERROR(INDIRECT("'C1'!AU75"),"")</f>
        <v>No Test</v>
      </c>
      <c r="G21" s="84" t="str">
        <f ca="1">IFERROR(INDIRECT("'C1'!AV75"),"")</f>
        <v>No Test</v>
      </c>
      <c r="H21" s="84" t="str">
        <f ca="1">IFERROR(INDIRECT("'C1'!AW75"),"")</f>
        <v>No Test</v>
      </c>
      <c r="I21" s="88" t="str">
        <f ca="1">IFERROR(INDIRECT("'C1'!AX75"),"")</f>
        <v>No Test</v>
      </c>
      <c r="J21" s="101" t="str">
        <f ca="1">IFERROR(GEOMEAN(INDIRECT("'C1'!AM75:AM79"))/GEOMEAN(INDIRECT("'C1'!S75:S79")),"")</f>
        <v/>
      </c>
      <c r="K21" s="84" t="str">
        <f ca="1">IFERROR(GEOMEAN(INDIRECT("'C1'!AN75:AN79"))/GEOMEAN(INDIRECT("'C1'!T75:T79")),"")</f>
        <v/>
      </c>
      <c r="L21" s="84" t="str">
        <f ca="1">IFERROR(GEOMEAN(INDIRECT("'C1'!AO75:AO79"))/GEOMEAN(INDIRECT("'C1'!U75:U79")),"")</f>
        <v/>
      </c>
      <c r="M21" s="84" t="str">
        <f ca="1">IFERROR(GEOMEAN(INDIRECT("'C1'!AP75:AP79"))/GEOMEAN(INDIRECT("'C1'!V75:V79")),"")</f>
        <v/>
      </c>
      <c r="N21" s="84" t="str">
        <f ca="1">IFERROR(GEOMEAN(INDIRECT("'C1'!AQ75:AQ79"))/GEOMEAN(INDIRECT("'C1'!W75:W79")),"")</f>
        <v/>
      </c>
      <c r="O21" s="88" t="str">
        <f ca="1">IFERROR(GEOMEAN(INDIRECT("'C1'!AR75:AR79"))/GEOMEAN(INDIRECT("'C1'!X75:X79")),"")</f>
        <v/>
      </c>
    </row>
    <row r="22" spans="2:15" x14ac:dyDescent="0.25">
      <c r="B22" s="196"/>
      <c r="C22" s="155" t="s">
        <v>1315</v>
      </c>
      <c r="D22" s="101" t="str">
        <f ca="1">IFERROR(INDIRECT("'C1'!AS80"),"")</f>
        <v>No Test</v>
      </c>
      <c r="E22" s="84" t="str">
        <f ca="1">IFERROR(INDIRECT("'C1'!AT80"),"")</f>
        <v>No Test</v>
      </c>
      <c r="F22" s="85" t="str">
        <f ca="1">IFERROR(INDIRECT("'C1'!AU80"),"")</f>
        <v>No Test</v>
      </c>
      <c r="G22" s="84" t="str">
        <f ca="1">IFERROR(INDIRECT("'C1'!AV80"),"")</f>
        <v>No Test</v>
      </c>
      <c r="H22" s="84" t="str">
        <f ca="1">IFERROR(INDIRECT("'C1'!AW80"),"")</f>
        <v>No Test</v>
      </c>
      <c r="I22" s="88" t="str">
        <f ca="1">IFERROR(INDIRECT("'C1'!AX80"),"")</f>
        <v>No Test</v>
      </c>
      <c r="J22" s="101" t="str">
        <f ca="1">IFERROR(GEOMEAN(INDIRECT("'C1'!AM80:AM84"))/GEOMEAN(INDIRECT("'C1'!S80:S84")),"")</f>
        <v/>
      </c>
      <c r="K22" s="84" t="str">
        <f ca="1">IFERROR(GEOMEAN(INDIRECT("'C1'!AN80:AN84"))/GEOMEAN(INDIRECT("'C1'!T80:T84")),"")</f>
        <v/>
      </c>
      <c r="L22" s="84" t="str">
        <f ca="1">IFERROR(GEOMEAN(INDIRECT("'C1'!AO80:AO84"))/GEOMEAN(INDIRECT("'C1'!U80:U84")),"")</f>
        <v/>
      </c>
      <c r="M22" s="84" t="str">
        <f ca="1">IFERROR(GEOMEAN(INDIRECT("'C1'!AP80:AP84"))/GEOMEAN(INDIRECT("'C1'!V80:V84")),"")</f>
        <v/>
      </c>
      <c r="N22" s="84" t="str">
        <f ca="1">IFERROR(GEOMEAN(INDIRECT("'C1'!AQ80:AQ84"))/GEOMEAN(INDIRECT("'C1'!W80:W84")),"")</f>
        <v/>
      </c>
      <c r="O22" s="88" t="str">
        <f ca="1">IFERROR(GEOMEAN(INDIRECT("'C1'!AR80:AR84"))/GEOMEAN(INDIRECT("'C1'!X80:X84")),"")</f>
        <v/>
      </c>
    </row>
    <row r="23" spans="2:15" x14ac:dyDescent="0.25">
      <c r="B23" s="196"/>
      <c r="C23" s="155" t="s">
        <v>1316</v>
      </c>
      <c r="D23" s="101" t="str">
        <f ca="1">IFERROR(INDIRECT("'C1'!AS85"),"")</f>
        <v>No Test</v>
      </c>
      <c r="E23" s="84" t="str">
        <f ca="1">IFERROR(INDIRECT("'C1'!AT85"),"")</f>
        <v>No Test</v>
      </c>
      <c r="F23" s="85" t="str">
        <f ca="1">IFERROR(INDIRECT("'C1'!AU85"),"")</f>
        <v>No Test</v>
      </c>
      <c r="G23" s="84" t="str">
        <f ca="1">IFERROR(INDIRECT("'C1'!AV85"),"")</f>
        <v>No Test</v>
      </c>
      <c r="H23" s="84" t="str">
        <f ca="1">IFERROR(INDIRECT("'C1'!AW85"),"")</f>
        <v>No Test</v>
      </c>
      <c r="I23" s="88" t="str">
        <f ca="1">IFERROR(INDIRECT("'C1'!AX85"),"")</f>
        <v>No Test</v>
      </c>
      <c r="J23" s="101" t="str">
        <f ca="1">IFERROR(GEOMEAN(INDIRECT("'C1'!AM85:AM89"))/GEOMEAN(INDIRECT("'C1'!S85:S89")),"")</f>
        <v/>
      </c>
      <c r="K23" s="84" t="str">
        <f ca="1">IFERROR(GEOMEAN(INDIRECT("'C1'!AN85:AN89"))/GEOMEAN(INDIRECT("'C1'!T85:T89")),"")</f>
        <v/>
      </c>
      <c r="L23" s="84" t="str">
        <f ca="1">IFERROR(GEOMEAN(INDIRECT("'C1'!AO85:AO89"))/GEOMEAN(INDIRECT("'C1'!U85:U89")),"")</f>
        <v/>
      </c>
      <c r="M23" s="84" t="str">
        <f ca="1">IFERROR(GEOMEAN(INDIRECT("'C1'!AP85:AP89"))/GEOMEAN(INDIRECT("'C1'!V85:V89")),"")</f>
        <v/>
      </c>
      <c r="N23" s="84" t="str">
        <f ca="1">IFERROR(GEOMEAN(INDIRECT("'C1'!AQ85:AQ89"))/GEOMEAN(INDIRECT("'C1'!W85:W89")),"")</f>
        <v/>
      </c>
      <c r="O23" s="88" t="str">
        <f ca="1">IFERROR(GEOMEAN(INDIRECT("'C1'!AR85:AR89"))/GEOMEAN(INDIRECT("'C1'!X85:X89")),"")</f>
        <v/>
      </c>
    </row>
    <row r="24" spans="2:15" x14ac:dyDescent="0.25">
      <c r="B24" s="196"/>
      <c r="C24" s="155" t="s">
        <v>1317</v>
      </c>
      <c r="D24" s="101" t="str">
        <f ca="1">IFERROR(INDIRECT("'C1'!AS90"),"")</f>
        <v>No Test</v>
      </c>
      <c r="E24" s="84" t="str">
        <f ca="1">IFERROR(INDIRECT("'C1'!AT90"),"")</f>
        <v>No Test</v>
      </c>
      <c r="F24" s="85" t="str">
        <f ca="1">IFERROR(INDIRECT("'C1'!AU90"),"")</f>
        <v>No Test</v>
      </c>
      <c r="G24" s="84" t="str">
        <f ca="1">IFERROR(INDIRECT("'C1'!AV90"),"")</f>
        <v>No Test</v>
      </c>
      <c r="H24" s="84" t="str">
        <f ca="1">IFERROR(INDIRECT("'C1'!AW90"),"")</f>
        <v>No Test</v>
      </c>
      <c r="I24" s="88" t="str">
        <f ca="1">IFERROR(INDIRECT("'C1'!AX90"),"")</f>
        <v>No Test</v>
      </c>
      <c r="J24" s="101" t="str">
        <f ca="1">IFERROR(GEOMEAN(INDIRECT("'C1'!AM90:AM94"))/GEOMEAN(INDIRECT("'C1'!S90:S94")),"")</f>
        <v/>
      </c>
      <c r="K24" s="84" t="str">
        <f ca="1">IFERROR(GEOMEAN(INDIRECT("'C1'!AN90:AN94"))/GEOMEAN(INDIRECT("'C1'!T90:T94")),"")</f>
        <v/>
      </c>
      <c r="L24" s="84" t="str">
        <f ca="1">IFERROR(GEOMEAN(INDIRECT("'C1'!AO90:AO94"))/GEOMEAN(INDIRECT("'C1'!U90:U94")),"")</f>
        <v/>
      </c>
      <c r="M24" s="84" t="str">
        <f ca="1">IFERROR(GEOMEAN(INDIRECT("'C1'!AP90:AP94"))/GEOMEAN(INDIRECT("'C1'!V90:V94")),"")</f>
        <v/>
      </c>
      <c r="N24" s="84" t="str">
        <f ca="1">IFERROR(GEOMEAN(INDIRECT("'C1'!AQ90:AQ94"))/GEOMEAN(INDIRECT("'C1'!W90:W94")),"")</f>
        <v/>
      </c>
      <c r="O24" s="88" t="str">
        <f ca="1">IFERROR(GEOMEAN(INDIRECT("'C1'!AR90:AR94"))/GEOMEAN(INDIRECT("'C1'!X90:X94")),"")</f>
        <v/>
      </c>
    </row>
    <row r="25" spans="2:15" x14ac:dyDescent="0.25">
      <c r="B25" s="196"/>
      <c r="C25" s="155" t="s">
        <v>1318</v>
      </c>
      <c r="D25" s="101" t="str">
        <f ca="1">IFERROR(INDIRECT("'C1'!AS95"),"")</f>
        <v>No Test</v>
      </c>
      <c r="E25" s="84" t="str">
        <f ca="1">IFERROR(INDIRECT("'C1'!AT95"),"")</f>
        <v>No Test</v>
      </c>
      <c r="F25" s="85" t="str">
        <f ca="1">IFERROR(INDIRECT("'C1'!AU95"),"")</f>
        <v>No Test</v>
      </c>
      <c r="G25" s="84" t="str">
        <f ca="1">IFERROR(INDIRECT("'C1'!AV95"),"")</f>
        <v>No Test</v>
      </c>
      <c r="H25" s="84" t="str">
        <f ca="1">IFERROR(INDIRECT("'C1'!AW95"),"")</f>
        <v>No Test</v>
      </c>
      <c r="I25" s="88" t="str">
        <f ca="1">IFERROR(INDIRECT("'C1'!AX95"),"")</f>
        <v>No Test</v>
      </c>
      <c r="J25" s="84" t="str">
        <f ca="1">IFERROR(GEOMEAN(INDIRECT("'C1'!AM95:AM99"))/GEOMEAN(INDIRECT("'C1'!S95:S99")),"")</f>
        <v/>
      </c>
      <c r="K25" s="84" t="str">
        <f ca="1">IFERROR(GEOMEAN(INDIRECT("'C1'!AN95:AN99"))/GEOMEAN(INDIRECT("'C1'!T95:T99")),"")</f>
        <v/>
      </c>
      <c r="L25" s="84" t="str">
        <f ca="1">IFERROR(GEOMEAN(INDIRECT("'C1'!AO95:AO99"))/GEOMEAN(INDIRECT("'C1'!U95:U99")),"")</f>
        <v/>
      </c>
      <c r="M25" s="84" t="str">
        <f ca="1">IFERROR(GEOMEAN(INDIRECT("'C1'!AP95:AP99"))/GEOMEAN(INDIRECT("'C1'!V95:V99")),"")</f>
        <v/>
      </c>
      <c r="N25" s="84" t="str">
        <f ca="1">IFERROR(GEOMEAN(INDIRECT("'C1'!AQ95:AQ99"))/GEOMEAN(INDIRECT("'C1'!W95:W99")),"")</f>
        <v/>
      </c>
      <c r="O25" s="88" t="str">
        <f ca="1">IFERROR(GEOMEAN(INDIRECT("'C1'!AR95:AR99"))/GEOMEAN(INDIRECT("'C1'!X95:X99")),"")</f>
        <v/>
      </c>
    </row>
    <row r="26" spans="2:15" x14ac:dyDescent="0.25">
      <c r="B26" s="196"/>
      <c r="C26" s="155" t="s">
        <v>1319</v>
      </c>
      <c r="D26" s="101" t="str">
        <f ca="1">IFERROR(INDIRECT("'C1'!AS100"),"")</f>
        <v>No Test</v>
      </c>
      <c r="E26" s="84" t="str">
        <f ca="1">IFERROR(INDIRECT("'C1'!AT100"),"")</f>
        <v>No Test</v>
      </c>
      <c r="F26" s="85" t="str">
        <f ca="1">IFERROR(INDIRECT("'C1'!AU100"),"")</f>
        <v>No Test</v>
      </c>
      <c r="G26" s="84" t="str">
        <f ca="1">IFERROR(INDIRECT("'C1'!AV100"),"")</f>
        <v>No Test</v>
      </c>
      <c r="H26" s="84" t="str">
        <f ca="1">IFERROR(INDIRECT("'C1'!AW100"),"")</f>
        <v>No Test</v>
      </c>
      <c r="I26" s="88" t="str">
        <f ca="1">IFERROR(INDIRECT("'C1'!AX100"),"")</f>
        <v>No Test</v>
      </c>
      <c r="J26" s="84" t="str">
        <f ca="1">IFERROR(GEOMEAN(INDIRECT("'C1'!AM100:AM104"))/GEOMEAN(INDIRECT("'C1'!S100:S104")),"")</f>
        <v/>
      </c>
      <c r="K26" s="84" t="str">
        <f ca="1">IFERROR(GEOMEAN(INDIRECT("'C1'!AN100:AN104"))/GEOMEAN(INDIRECT("'C1'!T100:T104")),"")</f>
        <v/>
      </c>
      <c r="L26" s="84" t="str">
        <f ca="1">IFERROR(GEOMEAN(INDIRECT("'C1'!AO100:AO104"))/GEOMEAN(INDIRECT("'C1'!U100:U104")),"")</f>
        <v/>
      </c>
      <c r="M26" s="84" t="str">
        <f ca="1">IFERROR(GEOMEAN(INDIRECT("'C1'!AP100:AP104"))/GEOMEAN(INDIRECT("'C1'!V100:V104")),"")</f>
        <v/>
      </c>
      <c r="N26" s="84" t="str">
        <f ca="1">IFERROR(GEOMEAN(INDIRECT("'C1'!AQ100:AQ104"))/GEOMEAN(INDIRECT("'C1'!W100:W104")),"")</f>
        <v/>
      </c>
      <c r="O26" s="88" t="str">
        <f ca="1">IFERROR(GEOMEAN(INDIRECT("'C1'!AR100:AR104"))/GEOMEAN(INDIRECT("'C1'!X100:X104")),"")</f>
        <v/>
      </c>
    </row>
    <row r="27" spans="2:15" x14ac:dyDescent="0.25">
      <c r="B27" s="196"/>
      <c r="C27" s="155" t="s">
        <v>1320</v>
      </c>
      <c r="D27" s="101" t="str">
        <f ca="1">IFERROR(INDIRECT("'C1'!AS105"),"")</f>
        <v>No Test</v>
      </c>
      <c r="E27" s="84" t="str">
        <f ca="1">IFERROR(INDIRECT("'C1'!AT105"),"")</f>
        <v>No Test</v>
      </c>
      <c r="F27" s="85" t="str">
        <f ca="1">IFERROR(INDIRECT("'C1'!AU105"),"")</f>
        <v>No Test</v>
      </c>
      <c r="G27" s="84" t="str">
        <f ca="1">IFERROR(INDIRECT("'C1'!AV105"),"")</f>
        <v>No Test</v>
      </c>
      <c r="H27" s="84" t="str">
        <f ca="1">IFERROR(INDIRECT("'C1'!AW105"),"")</f>
        <v>No Test</v>
      </c>
      <c r="I27" s="88" t="str">
        <f ca="1">IFERROR(INDIRECT("'C1'!AX105"),"")</f>
        <v>No Test</v>
      </c>
      <c r="J27" s="84" t="str">
        <f ca="1">IFERROR(GEOMEAN(INDIRECT("'C1'!AM105:AM109"))/GEOMEAN(INDIRECT("'C1'!S105:S109")),"")</f>
        <v/>
      </c>
      <c r="K27" s="84" t="str">
        <f ca="1">IFERROR(GEOMEAN(INDIRECT("'C1'!AN105:AN109"))/GEOMEAN(INDIRECT("'C1'!T105:T109")),"")</f>
        <v/>
      </c>
      <c r="L27" s="84" t="str">
        <f ca="1">IFERROR(GEOMEAN(INDIRECT("'C1'!AO105:AO109"))/GEOMEAN(INDIRECT("'C1'!U105:U109")),"")</f>
        <v/>
      </c>
      <c r="M27" s="84" t="str">
        <f ca="1">IFERROR(GEOMEAN(INDIRECT("'C1'!AP105:AP109"))/GEOMEAN(INDIRECT("'C1'!V105:V109")),"")</f>
        <v/>
      </c>
      <c r="N27" s="84" t="str">
        <f ca="1">IFERROR(GEOMEAN(INDIRECT("'C1'!AQ105:AQ109"))/GEOMEAN(INDIRECT("'C1'!W105:W109")),"")</f>
        <v/>
      </c>
      <c r="O27" s="88" t="str">
        <f ca="1">IFERROR(GEOMEAN(INDIRECT("'C1'!AR105:AR109"))/GEOMEAN(INDIRECT("'C1'!X105:X109")),"")</f>
        <v/>
      </c>
    </row>
    <row r="28" spans="2:15" x14ac:dyDescent="0.25">
      <c r="B28" s="196"/>
      <c r="C28" s="155" t="s">
        <v>1321</v>
      </c>
      <c r="D28" s="101" t="str">
        <f ca="1">IFERROR(INDIRECT("'C1'!AS110"),"")</f>
        <v>No Test</v>
      </c>
      <c r="E28" s="84" t="str">
        <f ca="1">IFERROR(INDIRECT("'C1'!AT110"),"")</f>
        <v>No Test</v>
      </c>
      <c r="F28" s="85" t="str">
        <f ca="1">IFERROR(INDIRECT("'C1'!AU110"),"")</f>
        <v>No Test</v>
      </c>
      <c r="G28" s="84" t="str">
        <f ca="1">IFERROR(INDIRECT("'C1'!AV110"),"")</f>
        <v>No Test</v>
      </c>
      <c r="H28" s="84" t="str">
        <f ca="1">IFERROR(INDIRECT("'C1'!AW110"),"")</f>
        <v>No Test</v>
      </c>
      <c r="I28" s="88" t="str">
        <f ca="1">IFERROR(INDIRECT("'C1'!AX110"),"")</f>
        <v>No Test</v>
      </c>
      <c r="J28" s="84" t="str">
        <f ca="1">IFERROR(GEOMEAN(INDIRECT("'C1'!AM110:AM114"))/GEOMEAN(INDIRECT("'C1'!S110:S114")),"")</f>
        <v/>
      </c>
      <c r="K28" s="84" t="str">
        <f ca="1">IFERROR(GEOMEAN(INDIRECT("'C1'!AN110:AN114"))/GEOMEAN(INDIRECT("'C1'!T110:T114")),"")</f>
        <v/>
      </c>
      <c r="L28" s="84" t="str">
        <f ca="1">IFERROR(GEOMEAN(INDIRECT("'C1'!AO110:AO114"))/GEOMEAN(INDIRECT("'C1'!U110:U114")),"")</f>
        <v/>
      </c>
      <c r="M28" s="84" t="str">
        <f ca="1">IFERROR(GEOMEAN(INDIRECT("'C1'!AP110:AP114"))/GEOMEAN(INDIRECT("'C1'!V110:V114")),"")</f>
        <v/>
      </c>
      <c r="N28" s="84" t="str">
        <f ca="1">IFERROR(GEOMEAN(INDIRECT("'C1'!AQ110:AQ114"))/GEOMEAN(INDIRECT("'C1'!W110:W114")),"")</f>
        <v/>
      </c>
      <c r="O28" s="88" t="str">
        <f ca="1">IFERROR(GEOMEAN(INDIRECT("'C1'!AR110:AR114"))/GEOMEAN(INDIRECT("'C1'!X110:X114")),"")</f>
        <v/>
      </c>
    </row>
    <row r="29" spans="2:15" ht="15.75" thickBot="1" x14ac:dyDescent="0.3">
      <c r="B29" s="197"/>
      <c r="C29" s="159" t="s">
        <v>1322</v>
      </c>
      <c r="D29" s="103" t="str">
        <f ca="1">IFERROR(INDIRECT("'C1'!AS115"),"")</f>
        <v>No Test</v>
      </c>
      <c r="E29" s="91" t="str">
        <f ca="1">IFERROR(INDIRECT("'C1'!AT115"),"")</f>
        <v>No Test</v>
      </c>
      <c r="F29" s="92" t="str">
        <f ca="1">IFERROR(INDIRECT("'C1'!AU115"),"")</f>
        <v>No Test</v>
      </c>
      <c r="G29" s="91" t="str">
        <f ca="1">IFERROR(INDIRECT("'C1'!AV115"),"")</f>
        <v>No Test</v>
      </c>
      <c r="H29" s="91" t="str">
        <f ca="1">IFERROR(INDIRECT("'C1'!AW115"),"")</f>
        <v>No Test</v>
      </c>
      <c r="I29" s="93" t="str">
        <f ca="1">IFERROR(INDIRECT("'C1'!AX115"),"")</f>
        <v>No Test</v>
      </c>
      <c r="J29" s="91" t="str">
        <f ca="1">IFERROR(GEOMEAN(INDIRECT("'C1'!AM115:AM119"))/GEOMEAN(INDIRECT("'C1'!S115:S119")),"")</f>
        <v/>
      </c>
      <c r="K29" s="91" t="str">
        <f ca="1">IFERROR(GEOMEAN(INDIRECT("'C1'!AN115:AN119"))/GEOMEAN(INDIRECT("'C1'!T115:T119")),"")</f>
        <v/>
      </c>
      <c r="L29" s="91" t="str">
        <f ca="1">IFERROR(GEOMEAN(INDIRECT("'C1'!AO115:AO119"))/GEOMEAN(INDIRECT("'C1'!U115:U119")),"")</f>
        <v/>
      </c>
      <c r="M29" s="91" t="str">
        <f ca="1">IFERROR(GEOMEAN(INDIRECT("'C1'!AP115:AP119"))/GEOMEAN(INDIRECT("'C1'!V115:V119")),"")</f>
        <v/>
      </c>
      <c r="N29" s="91" t="str">
        <f ca="1">IFERROR(GEOMEAN(INDIRECT("'C1'!AQ115:AQ119"))/GEOMEAN(INDIRECT("'C1'!W115:W119")),"")</f>
        <v/>
      </c>
      <c r="O29" s="93" t="str">
        <f ca="1">IFERROR(GEOMEAN(INDIRECT("'C1'!AR115:AR119"))/GEOMEAN(INDIRECT("'C1'!X115:X119")),"")</f>
        <v/>
      </c>
    </row>
    <row r="30" spans="2:15" x14ac:dyDescent="0.25">
      <c r="B30" s="160"/>
      <c r="C30" s="161" t="s">
        <v>1258</v>
      </c>
      <c r="D30" s="100" t="str">
        <f ca="1">IF(_xlfn.AGGREGATE(2,6,INDIRECT("D7:D9"))=0,"",_xlfn.AGGREGATE(1,6,INDIRECT("D7:D9")))</f>
        <v/>
      </c>
      <c r="E30" s="81" t="str">
        <f ca="1">IF(_xlfn.AGGREGATE(2,6,INDIRECT("E7:E9"))=0,"",_xlfn.AGGREGATE(1,6,INDIRECT("E7:E9")))</f>
        <v/>
      </c>
      <c r="F30" s="82" t="str">
        <f ca="1">IF(_xlfn.AGGREGATE(2,6,INDIRECT("F7:F9"))=0,"",_xlfn.AGGREGATE(1,6,INDIRECT("F7:F9")))</f>
        <v/>
      </c>
      <c r="G30" s="81" t="str">
        <f ca="1">IF(_xlfn.AGGREGATE(2,6,INDIRECT("G7:G9"))=0,"",_xlfn.AGGREGATE(1,6,INDIRECT("G7:G9")))</f>
        <v/>
      </c>
      <c r="H30" s="81" t="str">
        <f ca="1">IF(_xlfn.AGGREGATE(2,6,INDIRECT("H7:H9"))=0,"",_xlfn.AGGREGATE(1,6,INDIRECT("H7:H9")))</f>
        <v/>
      </c>
      <c r="I30" s="87" t="str">
        <f ca="1">IF(_xlfn.AGGREGATE(2,6,INDIRECT("I7:I9"))=0,"",_xlfn.AGGREGATE(1,6,INDIRECT("I7:I9")))</f>
        <v/>
      </c>
      <c r="J30" s="81" t="str">
        <f ca="1">IF(_xlfn.AGGREGATE(2,6,INDIRECT("J7:J9"))=0,"",_xlfn.AGGREGATE(1,6,INDIRECT("J7:J9")))</f>
        <v/>
      </c>
      <c r="K30" s="81" t="str">
        <f ca="1">IF(_xlfn.AGGREGATE(2,6,INDIRECT("K7:K9"))=0,"",_xlfn.AGGREGATE(1,6,INDIRECT("K7:K9")))</f>
        <v/>
      </c>
      <c r="L30" s="81" t="str">
        <f ca="1">IF(_xlfn.AGGREGATE(2,6,INDIRECT("L7:L9"))=0,"",_xlfn.AGGREGATE(1,6,INDIRECT("L7:L9")))</f>
        <v/>
      </c>
      <c r="M30" s="81" t="str">
        <f ca="1">IF(_xlfn.AGGREGATE(2,6,INDIRECT("M7:M9"))=0,"",_xlfn.AGGREGATE(1,6,INDIRECT("M7:M9")))</f>
        <v/>
      </c>
      <c r="N30" s="81" t="str">
        <f ca="1">IF(_xlfn.AGGREGATE(2,6,INDIRECT("N7:N9"))=0,"",_xlfn.AGGREGATE(1,6,INDIRECT("N7:N9")))</f>
        <v/>
      </c>
      <c r="O30" s="87" t="str">
        <f ca="1">IF(_xlfn.AGGREGATE(2,6,INDIRECT("O7:O9"))=0,"",_xlfn.AGGREGATE(1,6,INDIRECT("O7:O9")))</f>
        <v/>
      </c>
    </row>
    <row r="31" spans="2:15" x14ac:dyDescent="0.25">
      <c r="B31" s="104"/>
      <c r="C31" s="157" t="s">
        <v>1259</v>
      </c>
      <c r="D31" s="101" t="str">
        <f ca="1">IF(_xlfn.AGGREGATE(2,6,INDIRECT("D10:D19"))=0,"",_xlfn.AGGREGATE(1,6,INDIRECT("D10:D19")))</f>
        <v/>
      </c>
      <c r="E31" s="84" t="str">
        <f ca="1">IF(_xlfn.AGGREGATE(2,6,INDIRECT("E10:E19"))=0,"",_xlfn.AGGREGATE(1,6,INDIRECT("E10:E19")))</f>
        <v/>
      </c>
      <c r="F31" s="85" t="str">
        <f ca="1">IF(_xlfn.AGGREGATE(2,6,INDIRECT("F10:F19"))=0,"",_xlfn.AGGREGATE(1,6,INDIRECT("F10:F19")))</f>
        <v/>
      </c>
      <c r="G31" s="84" t="str">
        <f ca="1">IF(_xlfn.AGGREGATE(2,6,INDIRECT("G10:G19"))=0,"",_xlfn.AGGREGATE(1,6,INDIRECT("G10:G19")))</f>
        <v/>
      </c>
      <c r="H31" s="84" t="str">
        <f ca="1">IF(_xlfn.AGGREGATE(2,6,INDIRECT("H10:H19"))=0,"",_xlfn.AGGREGATE(1,6,INDIRECT("H10:H19")))</f>
        <v/>
      </c>
      <c r="I31" s="88" t="str">
        <f ca="1">IF(_xlfn.AGGREGATE(2,6,INDIRECT("I10:I19"))=0,"",_xlfn.AGGREGATE(1,6,INDIRECT("I10:I19")))</f>
        <v/>
      </c>
      <c r="J31" s="84" t="str">
        <f ca="1">IF(_xlfn.AGGREGATE(2,6,INDIRECT("J10:J19"))=0,"",_xlfn.AGGREGATE(1,6,INDIRECT("J10:J19")))</f>
        <v/>
      </c>
      <c r="K31" s="84" t="str">
        <f ca="1">IF(_xlfn.AGGREGATE(2,6,INDIRECT("K10:K19"))=0,"",_xlfn.AGGREGATE(1,6,INDIRECT("K10:K19")))</f>
        <v/>
      </c>
      <c r="L31" s="84" t="str">
        <f ca="1">IF(_xlfn.AGGREGATE(2,6,INDIRECT("L10:L19"))=0,"",_xlfn.AGGREGATE(1,6,INDIRECT("L10:L19")))</f>
        <v/>
      </c>
      <c r="M31" s="84" t="str">
        <f ca="1">IF(_xlfn.AGGREGATE(2,6,INDIRECT("M10:M19"))=0,"",_xlfn.AGGREGATE(1,6,INDIRECT("M10:M19")))</f>
        <v/>
      </c>
      <c r="N31" s="84" t="str">
        <f ca="1">IF(_xlfn.AGGREGATE(2,6,INDIRECT("N10:N19"))=0,"",_xlfn.AGGREGATE(1,6,INDIRECT("N10:N19")))</f>
        <v/>
      </c>
      <c r="O31" s="88" t="str">
        <f ca="1">IF(_xlfn.AGGREGATE(2,6,INDIRECT("O10:O19"))=0,"",_xlfn.AGGREGATE(1,6,INDIRECT("O10:O19")))</f>
        <v/>
      </c>
    </row>
    <row r="32" spans="2:15" x14ac:dyDescent="0.25">
      <c r="B32" s="104"/>
      <c r="C32" s="157" t="s">
        <v>1323</v>
      </c>
      <c r="D32" s="102" t="str">
        <f ca="1">IF(_xlfn.AGGREGATE(2,6,INDIRECT("D20:D29"))=0,"",_xlfn.AGGREGATE(1,6,INDIRECT("D20:D29")))</f>
        <v/>
      </c>
      <c r="E32" s="86" t="str">
        <f ca="1">IF(_xlfn.AGGREGATE(2,6,INDIRECT("E20:E29"))=0,"",_xlfn.AGGREGATE(1,6,INDIRECT("E20:E29")))</f>
        <v/>
      </c>
      <c r="F32" s="162" t="str">
        <f ca="1">IF(_xlfn.AGGREGATE(2,6,INDIRECT("F20:F29"))=0,"",_xlfn.AGGREGATE(1,6,INDIRECT("F20:F29")))</f>
        <v/>
      </c>
      <c r="G32" s="86" t="str">
        <f ca="1">IF(_xlfn.AGGREGATE(2,6,INDIRECT("G20:G29"))=0,"",_xlfn.AGGREGATE(1,6,INDIRECT("G20:G29")))</f>
        <v/>
      </c>
      <c r="H32" s="86" t="str">
        <f ca="1">IF(_xlfn.AGGREGATE(2,6,INDIRECT("H20:H29"))=0,"",_xlfn.AGGREGATE(1,6,INDIRECT("H20:H29")))</f>
        <v/>
      </c>
      <c r="I32" s="89" t="str">
        <f ca="1">IF(_xlfn.AGGREGATE(2,6,INDIRECT("I20:I29"))=0,"",_xlfn.AGGREGATE(1,6,INDIRECT("I20:I29")))</f>
        <v/>
      </c>
      <c r="J32" s="86" t="str">
        <f ca="1">IF(_xlfn.AGGREGATE(2,6,INDIRECT("J20:J29"))=0,"",_xlfn.AGGREGATE(1,6,INDIRECT("J20:J29")))</f>
        <v/>
      </c>
      <c r="K32" s="86" t="str">
        <f ca="1">IF(_xlfn.AGGREGATE(2,6,INDIRECT("K20:K29"))=0,"",_xlfn.AGGREGATE(1,6,INDIRECT("K20:K29")))</f>
        <v/>
      </c>
      <c r="L32" s="86" t="str">
        <f ca="1">IF(_xlfn.AGGREGATE(2,6,INDIRECT("L20:L29"))=0,"",_xlfn.AGGREGATE(1,6,INDIRECT("L20:L29")))</f>
        <v/>
      </c>
      <c r="M32" s="86" t="str">
        <f ca="1">IF(_xlfn.AGGREGATE(2,6,INDIRECT("M20:M29"))=0,"",_xlfn.AGGREGATE(1,6,INDIRECT("M20:M29")))</f>
        <v/>
      </c>
      <c r="N32" s="86" t="str">
        <f ca="1">IF(_xlfn.AGGREGATE(2,6,INDIRECT("N20:N29"))=0,"",_xlfn.AGGREGATE(1,6,INDIRECT("N20:N29")))</f>
        <v/>
      </c>
      <c r="O32" s="89" t="str">
        <f ca="1">IF(_xlfn.AGGREGATE(2,6,INDIRECT("O20:O29"))=0,"",_xlfn.AGGREGATE(1,6,INDIRECT("O20:O29")))</f>
        <v/>
      </c>
    </row>
    <row r="33" spans="2:15" ht="15.75" thickBot="1" x14ac:dyDescent="0.3">
      <c r="B33" s="111"/>
      <c r="C33" s="110" t="s">
        <v>1278</v>
      </c>
      <c r="D33" s="103" t="str">
        <f ca="1">IF(_xlfn.AGGREGATE(2,6,INDIRECT("D30:D32"))=0,"",_xlfn.AGGREGATE(1,6,INDIRECT("D30:D32")))</f>
        <v/>
      </c>
      <c r="E33" s="91" t="str">
        <f ca="1">IF(_xlfn.AGGREGATE(2,6,INDIRECT("E30:E32"))=0,"",_xlfn.AGGREGATE(1,6,INDIRECT("E30:E32")))</f>
        <v/>
      </c>
      <c r="F33" s="92" t="str">
        <f ca="1">IF(_xlfn.AGGREGATE(2,6,INDIRECT("F30:F32"))=0,"",_xlfn.AGGREGATE(1,6,INDIRECT("F30:F32")))</f>
        <v/>
      </c>
      <c r="G33" s="91" t="str">
        <f ca="1">IF(_xlfn.AGGREGATE(2,6,INDIRECT("G30:G32"))=0,"",_xlfn.AGGREGATE(1,6,INDIRECT("G30:G32")))</f>
        <v/>
      </c>
      <c r="H33" s="91" t="str">
        <f ca="1">IF(_xlfn.AGGREGATE(2,6,INDIRECT("H30:H32"))=0,"",_xlfn.AGGREGATE(1,6,INDIRECT("H30:H32")))</f>
        <v/>
      </c>
      <c r="I33" s="93" t="str">
        <f ca="1">IF(_xlfn.AGGREGATE(2,6,INDIRECT("I30:I32"))=0,"",_xlfn.AGGREGATE(1,6,INDIRECT("I30:I32")))</f>
        <v/>
      </c>
      <c r="J33" s="91" t="str">
        <f ca="1">IF(_xlfn.AGGREGATE(2,6,INDIRECT("J30:J32"))=0,"",_xlfn.AGGREGATE(1,6,INDIRECT("J30:J32")))</f>
        <v/>
      </c>
      <c r="K33" s="91" t="str">
        <f ca="1">IF(_xlfn.AGGREGATE(2,6,INDIRECT("K30:K32"))=0,"",_xlfn.AGGREGATE(1,6,INDIRECT("K30:K32")))</f>
        <v/>
      </c>
      <c r="L33" s="91" t="str">
        <f ca="1">IF(_xlfn.AGGREGATE(2,6,INDIRECT("L30:L32"))=0,"",_xlfn.AGGREGATE(1,6,INDIRECT("L30:L32")))</f>
        <v/>
      </c>
      <c r="M33" s="91" t="str">
        <f ca="1">IF(_xlfn.AGGREGATE(2,6,INDIRECT("M30:M32"))=0,"",_xlfn.AGGREGATE(1,6,INDIRECT("M30:M32")))</f>
        <v/>
      </c>
      <c r="N33" s="91" t="str">
        <f ca="1">IF(_xlfn.AGGREGATE(2,6,INDIRECT("N30:N32"))=0,"",_xlfn.AGGREGATE(1,6,INDIRECT("N30:N32")))</f>
        <v/>
      </c>
      <c r="O33" s="93" t="str">
        <f ca="1">IF(_xlfn.AGGREGATE(2,6,INDIRECT("O30:O32"))=0,"",_xlfn.AGGREGATE(1,6,INDIRECT("O30:O32")))</f>
        <v/>
      </c>
    </row>
  </sheetData>
  <mergeCells count="15">
    <mergeCell ref="B20:B29"/>
    <mergeCell ref="O5:O6"/>
    <mergeCell ref="D5:F5"/>
    <mergeCell ref="C5:C6"/>
    <mergeCell ref="B10:B19"/>
    <mergeCell ref="B7:B9"/>
    <mergeCell ref="B5:B6"/>
    <mergeCell ref="M5:M6"/>
    <mergeCell ref="N5:N6"/>
    <mergeCell ref="C1:D1"/>
    <mergeCell ref="C2:D2"/>
    <mergeCell ref="J5:J6"/>
    <mergeCell ref="K5:K6"/>
    <mergeCell ref="L5:L6"/>
    <mergeCell ref="G5:I5"/>
  </mergeCells>
  <phoneticPr fontId="2" type="noConversion"/>
  <conditionalFormatting sqref="J7:O33">
    <cfRule type="containsBlanks" dxfId="544" priority="28">
      <formula>LEN(TRIM(J7))=0</formula>
    </cfRule>
    <cfRule type="cellIs" dxfId="543" priority="29" operator="lessThan">
      <formula>0.97</formula>
    </cfRule>
    <cfRule type="cellIs" dxfId="542" priority="30" operator="greaterThan">
      <formula>1.03</formula>
    </cfRule>
  </conditionalFormatting>
  <conditionalFormatting sqref="D7:I33">
    <cfRule type="containsBlanks" dxfId="541" priority="2">
      <formula>LEN(TRIM(D7))=0</formula>
    </cfRule>
    <cfRule type="cellIs" dxfId="540" priority="3" operator="lessThan">
      <formula>-0.03</formula>
    </cfRule>
    <cfRule type="cellIs" dxfId="539" priority="4" operator="greaterThan">
      <formula>0.03</formula>
    </cfRule>
  </conditionalFormatting>
  <conditionalFormatting sqref="D7:I29">
    <cfRule type="expression" dxfId="538" priority="1">
      <formula>OR(D7="No Anchor", D7="No Test", D7="Points &lt; 4")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C882"/>
  <sheetViews>
    <sheetView topLeftCell="A307" workbookViewId="0">
      <selection activeCell="B332" sqref="B332"/>
    </sheetView>
  </sheetViews>
  <sheetFormatPr defaultColWidth="8.85546875" defaultRowHeight="15" x14ac:dyDescent="0.25"/>
  <cols>
    <col min="1" max="1" width="71" customWidth="1"/>
    <col min="2" max="2" width="50" style="1" customWidth="1"/>
  </cols>
  <sheetData>
    <row r="1" spans="1:29" x14ac:dyDescent="0.25">
      <c r="A1" t="s">
        <v>189</v>
      </c>
      <c r="B1" t="s">
        <v>0</v>
      </c>
      <c r="C1" t="s">
        <v>1</v>
      </c>
      <c r="D1" t="s">
        <v>581</v>
      </c>
      <c r="E1" t="s">
        <v>582</v>
      </c>
      <c r="F1" t="s">
        <v>542</v>
      </c>
      <c r="G1" t="s">
        <v>3</v>
      </c>
      <c r="H1" t="s">
        <v>4</v>
      </c>
      <c r="I1" t="s">
        <v>6</v>
      </c>
      <c r="J1" t="s">
        <v>7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s="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730</v>
      </c>
      <c r="Y1" t="s">
        <v>728</v>
      </c>
      <c r="Z1" t="s">
        <v>729</v>
      </c>
      <c r="AA1" t="s">
        <v>731</v>
      </c>
    </row>
    <row r="2" spans="1:29" x14ac:dyDescent="0.25">
      <c r="A2" t="s">
        <v>96</v>
      </c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7</v>
      </c>
      <c r="I2" t="s">
        <v>9</v>
      </c>
      <c r="J2" s="1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730</v>
      </c>
      <c r="W2" t="s">
        <v>728</v>
      </c>
      <c r="X2" t="s">
        <v>729</v>
      </c>
      <c r="Y2" t="s">
        <v>731</v>
      </c>
    </row>
    <row r="3" spans="1:29" x14ac:dyDescent="0.25">
      <c r="A3" t="s">
        <v>265</v>
      </c>
      <c r="B3" s="1" t="s">
        <v>267</v>
      </c>
      <c r="C3" t="s">
        <v>0</v>
      </c>
      <c r="D3" t="s">
        <v>266</v>
      </c>
      <c r="E3" t="s">
        <v>1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18</v>
      </c>
      <c r="W3" t="s">
        <v>19</v>
      </c>
      <c r="X3" t="s">
        <v>20</v>
      </c>
      <c r="Y3" t="s">
        <v>21</v>
      </c>
      <c r="Z3" t="s">
        <v>730</v>
      </c>
      <c r="AA3" t="s">
        <v>728</v>
      </c>
      <c r="AB3" t="s">
        <v>729</v>
      </c>
      <c r="AC3" t="s">
        <v>731</v>
      </c>
    </row>
    <row r="4" spans="1:29" x14ac:dyDescent="0.25">
      <c r="A4" t="s">
        <v>145</v>
      </c>
      <c r="B4" t="s">
        <v>2</v>
      </c>
      <c r="C4" t="s">
        <v>3</v>
      </c>
      <c r="D4" t="s">
        <v>4</v>
      </c>
      <c r="E4" t="s">
        <v>7</v>
      </c>
      <c r="F4" t="s">
        <v>10</v>
      </c>
      <c r="G4" t="s">
        <v>11</v>
      </c>
      <c r="H4" t="s">
        <v>12</v>
      </c>
      <c r="I4" t="s">
        <v>13</v>
      </c>
      <c r="J4" t="s">
        <v>14</v>
      </c>
      <c r="K4" t="s">
        <v>15</v>
      </c>
      <c r="L4" t="s">
        <v>16</v>
      </c>
      <c r="M4" t="s">
        <v>17</v>
      </c>
      <c r="N4" t="s">
        <v>18</v>
      </c>
      <c r="O4" s="1" t="s">
        <v>19</v>
      </c>
      <c r="P4" t="s">
        <v>20</v>
      </c>
      <c r="Q4" t="s">
        <v>21</v>
      </c>
      <c r="R4" t="s">
        <v>732</v>
      </c>
      <c r="S4" t="s">
        <v>728</v>
      </c>
      <c r="T4" t="s">
        <v>729</v>
      </c>
      <c r="U4" t="s">
        <v>731</v>
      </c>
    </row>
    <row r="5" spans="1:29" x14ac:dyDescent="0.25">
      <c r="A5" t="s">
        <v>561</v>
      </c>
      <c r="B5" t="s">
        <v>0</v>
      </c>
      <c r="C5" t="s">
        <v>1</v>
      </c>
      <c r="D5" t="s">
        <v>581</v>
      </c>
      <c r="E5" t="s">
        <v>268</v>
      </c>
      <c r="F5" t="s">
        <v>542</v>
      </c>
      <c r="G5" t="s">
        <v>3</v>
      </c>
      <c r="H5" t="s">
        <v>4</v>
      </c>
      <c r="I5" t="s">
        <v>6</v>
      </c>
      <c r="J5" t="s">
        <v>7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15</v>
      </c>
      <c r="R5" s="1" t="s">
        <v>16</v>
      </c>
      <c r="S5" t="s">
        <v>17</v>
      </c>
      <c r="T5" t="s">
        <v>18</v>
      </c>
      <c r="U5" t="s">
        <v>19</v>
      </c>
      <c r="V5" t="s">
        <v>20</v>
      </c>
      <c r="W5" t="s">
        <v>21</v>
      </c>
      <c r="X5" t="s">
        <v>730</v>
      </c>
      <c r="Y5" t="s">
        <v>728</v>
      </c>
      <c r="Z5" t="s">
        <v>729</v>
      </c>
      <c r="AA5" t="s">
        <v>731</v>
      </c>
    </row>
    <row r="6" spans="1:29" x14ac:dyDescent="0.25">
      <c r="A6" t="s">
        <v>281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6</v>
      </c>
      <c r="H6" t="s">
        <v>7</v>
      </c>
      <c r="I6" t="s">
        <v>9</v>
      </c>
      <c r="J6" s="1" t="s">
        <v>10</v>
      </c>
      <c r="K6" t="s">
        <v>11</v>
      </c>
      <c r="L6" t="s">
        <v>12</v>
      </c>
      <c r="M6" t="s">
        <v>13</v>
      </c>
      <c r="N6" t="s">
        <v>14</v>
      </c>
      <c r="O6" t="s">
        <v>15</v>
      </c>
      <c r="P6" t="s">
        <v>16</v>
      </c>
      <c r="Q6" t="s">
        <v>17</v>
      </c>
      <c r="R6" t="s">
        <v>18</v>
      </c>
      <c r="S6" t="s">
        <v>19</v>
      </c>
      <c r="T6" t="s">
        <v>20</v>
      </c>
      <c r="U6" t="s">
        <v>21</v>
      </c>
      <c r="V6" t="s">
        <v>730</v>
      </c>
      <c r="W6" t="s">
        <v>728</v>
      </c>
      <c r="X6" t="s">
        <v>729</v>
      </c>
      <c r="Y6" t="s">
        <v>731</v>
      </c>
    </row>
    <row r="7" spans="1:29" x14ac:dyDescent="0.25">
      <c r="A7" t="s">
        <v>282</v>
      </c>
      <c r="B7" s="1" t="s">
        <v>267</v>
      </c>
      <c r="C7" t="s">
        <v>0</v>
      </c>
      <c r="D7" t="s">
        <v>266</v>
      </c>
      <c r="E7" t="s">
        <v>1</v>
      </c>
      <c r="F7" t="s">
        <v>2</v>
      </c>
      <c r="G7" t="s">
        <v>3</v>
      </c>
      <c r="H7" t="s">
        <v>4</v>
      </c>
      <c r="I7" t="s">
        <v>5</v>
      </c>
      <c r="J7" t="s">
        <v>6</v>
      </c>
      <c r="K7" t="s">
        <v>7</v>
      </c>
      <c r="L7" t="s">
        <v>8</v>
      </c>
      <c r="M7" t="s">
        <v>9</v>
      </c>
      <c r="N7" t="s">
        <v>10</v>
      </c>
      <c r="O7" t="s">
        <v>11</v>
      </c>
      <c r="P7" t="s">
        <v>12</v>
      </c>
      <c r="Q7" t="s">
        <v>13</v>
      </c>
      <c r="R7" t="s">
        <v>14</v>
      </c>
      <c r="S7" t="s">
        <v>15</v>
      </c>
      <c r="T7" t="s">
        <v>16</v>
      </c>
      <c r="U7" t="s">
        <v>17</v>
      </c>
      <c r="V7" t="s">
        <v>18</v>
      </c>
      <c r="W7" t="s">
        <v>19</v>
      </c>
      <c r="X7" t="s">
        <v>20</v>
      </c>
      <c r="Y7" t="s">
        <v>21</v>
      </c>
      <c r="Z7" t="s">
        <v>730</v>
      </c>
      <c r="AA7" t="s">
        <v>728</v>
      </c>
      <c r="AB7" t="s">
        <v>729</v>
      </c>
      <c r="AC7" t="s">
        <v>731</v>
      </c>
    </row>
    <row r="8" spans="1:29" x14ac:dyDescent="0.25">
      <c r="A8" t="s">
        <v>283</v>
      </c>
      <c r="B8" t="s">
        <v>900</v>
      </c>
      <c r="C8" t="s">
        <v>3</v>
      </c>
      <c r="D8" t="s">
        <v>4</v>
      </c>
      <c r="E8" t="s">
        <v>7</v>
      </c>
      <c r="F8" t="s">
        <v>10</v>
      </c>
      <c r="G8" t="s">
        <v>11</v>
      </c>
      <c r="H8" t="s">
        <v>12</v>
      </c>
      <c r="I8" t="s">
        <v>13</v>
      </c>
      <c r="J8" t="s">
        <v>14</v>
      </c>
      <c r="K8" t="s">
        <v>15</v>
      </c>
      <c r="L8" t="s">
        <v>16</v>
      </c>
      <c r="M8" t="s">
        <v>17</v>
      </c>
      <c r="N8" t="s">
        <v>18</v>
      </c>
      <c r="O8" s="1" t="s">
        <v>19</v>
      </c>
      <c r="P8" t="s">
        <v>20</v>
      </c>
      <c r="Q8" t="s">
        <v>21</v>
      </c>
      <c r="R8" t="s">
        <v>732</v>
      </c>
      <c r="S8" t="s">
        <v>728</v>
      </c>
      <c r="T8" t="s">
        <v>729</v>
      </c>
      <c r="U8" t="s">
        <v>731</v>
      </c>
    </row>
    <row r="9" spans="1:29" x14ac:dyDescent="0.25">
      <c r="A9" t="s">
        <v>146</v>
      </c>
      <c r="B9" s="1">
        <v>1</v>
      </c>
    </row>
    <row r="10" spans="1:29" x14ac:dyDescent="0.25">
      <c r="A10" t="s">
        <v>147</v>
      </c>
      <c r="B10" s="1">
        <v>2</v>
      </c>
    </row>
    <row r="11" spans="1:29" x14ac:dyDescent="0.25">
      <c r="A11" t="s">
        <v>148</v>
      </c>
      <c r="B11" s="1">
        <v>3</v>
      </c>
    </row>
    <row r="12" spans="1:29" x14ac:dyDescent="0.25">
      <c r="A12" t="s">
        <v>576</v>
      </c>
      <c r="B12" s="1">
        <v>4</v>
      </c>
    </row>
    <row r="13" spans="1:29" x14ac:dyDescent="0.25">
      <c r="A13" t="s">
        <v>897</v>
      </c>
      <c r="B13" s="1">
        <v>5</v>
      </c>
    </row>
    <row r="14" spans="1:29" x14ac:dyDescent="0.25">
      <c r="A14" t="s">
        <v>691</v>
      </c>
      <c r="B14" s="1">
        <v>6</v>
      </c>
    </row>
    <row r="15" spans="1:29" x14ac:dyDescent="0.25">
      <c r="A15" t="s">
        <v>903</v>
      </c>
      <c r="B15" s="1">
        <v>7</v>
      </c>
    </row>
    <row r="16" spans="1:29" x14ac:dyDescent="0.25">
      <c r="A16" t="s">
        <v>899</v>
      </c>
      <c r="B16" s="1">
        <v>8</v>
      </c>
    </row>
    <row r="17" spans="1:2" x14ac:dyDescent="0.25">
      <c r="A17" t="s">
        <v>149</v>
      </c>
      <c r="B17" s="1">
        <v>9</v>
      </c>
    </row>
    <row r="18" spans="1:2" x14ac:dyDescent="0.25">
      <c r="A18" t="s">
        <v>150</v>
      </c>
      <c r="B18" s="1">
        <v>10</v>
      </c>
    </row>
    <row r="19" spans="1:2" x14ac:dyDescent="0.25">
      <c r="A19" t="s">
        <v>151</v>
      </c>
      <c r="B19" s="1">
        <v>12</v>
      </c>
    </row>
    <row r="20" spans="1:2" x14ac:dyDescent="0.25">
      <c r="A20" t="s">
        <v>692</v>
      </c>
      <c r="B20" s="1">
        <v>13</v>
      </c>
    </row>
    <row r="21" spans="1:2" x14ac:dyDescent="0.25">
      <c r="A21" t="s">
        <v>693</v>
      </c>
      <c r="B21" s="1">
        <v>14</v>
      </c>
    </row>
    <row r="22" spans="1:2" x14ac:dyDescent="0.25">
      <c r="A22" t="s">
        <v>694</v>
      </c>
      <c r="B22" s="1">
        <v>15</v>
      </c>
    </row>
    <row r="23" spans="1:2" x14ac:dyDescent="0.25">
      <c r="A23" t="s">
        <v>695</v>
      </c>
      <c r="B23" s="1">
        <v>16</v>
      </c>
    </row>
    <row r="24" spans="1:2" x14ac:dyDescent="0.25">
      <c r="A24" t="s">
        <v>152</v>
      </c>
      <c r="B24" s="1">
        <v>17</v>
      </c>
    </row>
    <row r="25" spans="1:2" x14ac:dyDescent="0.25">
      <c r="A25" t="s">
        <v>153</v>
      </c>
      <c r="B25" s="1">
        <v>18</v>
      </c>
    </row>
    <row r="26" spans="1:2" x14ac:dyDescent="0.25">
      <c r="A26" t="s">
        <v>154</v>
      </c>
      <c r="B26" s="1">
        <v>19</v>
      </c>
    </row>
    <row r="27" spans="1:2" x14ac:dyDescent="0.25">
      <c r="A27" t="s">
        <v>898</v>
      </c>
      <c r="B27" s="1">
        <v>20</v>
      </c>
    </row>
    <row r="28" spans="1:2" x14ac:dyDescent="0.25">
      <c r="A28" t="s">
        <v>155</v>
      </c>
      <c r="B28" s="1">
        <v>21</v>
      </c>
    </row>
    <row r="29" spans="1:2" x14ac:dyDescent="0.25">
      <c r="A29" t="s">
        <v>156</v>
      </c>
      <c r="B29" s="1">
        <v>22</v>
      </c>
    </row>
    <row r="30" spans="1:2" x14ac:dyDescent="0.25">
      <c r="A30" t="s">
        <v>157</v>
      </c>
      <c r="B30" s="1">
        <v>23</v>
      </c>
    </row>
    <row r="31" spans="1:2" x14ac:dyDescent="0.25">
      <c r="A31" t="s">
        <v>158</v>
      </c>
      <c r="B31" s="1">
        <v>24</v>
      </c>
    </row>
    <row r="32" spans="1:2" x14ac:dyDescent="0.25">
      <c r="A32" t="s">
        <v>159</v>
      </c>
      <c r="B32" s="1">
        <v>25</v>
      </c>
    </row>
    <row r="33" spans="1:2" x14ac:dyDescent="0.25">
      <c r="A33" t="s">
        <v>160</v>
      </c>
      <c r="B33" s="1">
        <v>26</v>
      </c>
    </row>
    <row r="34" spans="1:2" x14ac:dyDescent="0.25">
      <c r="A34" t="s">
        <v>577</v>
      </c>
      <c r="B34" s="1">
        <v>27</v>
      </c>
    </row>
    <row r="35" spans="1:2" x14ac:dyDescent="0.25">
      <c r="A35" t="s">
        <v>578</v>
      </c>
      <c r="B35" s="1">
        <v>28</v>
      </c>
    </row>
    <row r="36" spans="1:2" x14ac:dyDescent="0.25">
      <c r="A36" t="s">
        <v>161</v>
      </c>
      <c r="B36" s="1">
        <v>29</v>
      </c>
    </row>
    <row r="37" spans="1:2" x14ac:dyDescent="0.25">
      <c r="A37" t="s">
        <v>162</v>
      </c>
      <c r="B37" s="1">
        <v>30</v>
      </c>
    </row>
    <row r="38" spans="1:2" x14ac:dyDescent="0.25">
      <c r="A38" t="s">
        <v>163</v>
      </c>
      <c r="B38" s="1">
        <v>31</v>
      </c>
    </row>
    <row r="39" spans="1:2" x14ac:dyDescent="0.25">
      <c r="A39" t="s">
        <v>164</v>
      </c>
      <c r="B39" s="1">
        <v>32</v>
      </c>
    </row>
    <row r="40" spans="1:2" x14ac:dyDescent="0.25">
      <c r="A40" t="s">
        <v>165</v>
      </c>
      <c r="B40" s="1">
        <v>33</v>
      </c>
    </row>
    <row r="41" spans="1:2" x14ac:dyDescent="0.25">
      <c r="A41" t="s">
        <v>166</v>
      </c>
      <c r="B41" s="1">
        <v>34</v>
      </c>
    </row>
    <row r="42" spans="1:2" x14ac:dyDescent="0.25">
      <c r="A42" t="s">
        <v>934</v>
      </c>
      <c r="B42" s="1">
        <v>35</v>
      </c>
    </row>
    <row r="43" spans="1:2" x14ac:dyDescent="0.25">
      <c r="A43" t="s">
        <v>935</v>
      </c>
      <c r="B43" s="1">
        <v>36</v>
      </c>
    </row>
    <row r="44" spans="1:2" x14ac:dyDescent="0.25">
      <c r="A44" t="s">
        <v>936</v>
      </c>
      <c r="B44" s="1">
        <v>37</v>
      </c>
    </row>
    <row r="45" spans="1:2" x14ac:dyDescent="0.25">
      <c r="A45" t="s">
        <v>937</v>
      </c>
      <c r="B45" s="1">
        <v>38</v>
      </c>
    </row>
    <row r="46" spans="1:2" x14ac:dyDescent="0.25">
      <c r="A46" t="s">
        <v>938</v>
      </c>
      <c r="B46" s="1">
        <v>39</v>
      </c>
    </row>
    <row r="47" spans="1:2" x14ac:dyDescent="0.25">
      <c r="A47" t="s">
        <v>939</v>
      </c>
      <c r="B47" s="1">
        <v>40</v>
      </c>
    </row>
    <row r="48" spans="1:2" x14ac:dyDescent="0.25">
      <c r="A48" t="s">
        <v>167</v>
      </c>
      <c r="B48" s="1">
        <v>41</v>
      </c>
    </row>
    <row r="49" spans="1:2" x14ac:dyDescent="0.25">
      <c r="A49" t="s">
        <v>562</v>
      </c>
      <c r="B49" s="1">
        <v>42</v>
      </c>
    </row>
    <row r="50" spans="1:2" x14ac:dyDescent="0.25">
      <c r="A50" t="s">
        <v>563</v>
      </c>
      <c r="B50" s="1">
        <v>43</v>
      </c>
    </row>
    <row r="51" spans="1:2" x14ac:dyDescent="0.25">
      <c r="A51" t="s">
        <v>168</v>
      </c>
      <c r="B51" s="1">
        <v>45</v>
      </c>
    </row>
    <row r="52" spans="1:2" x14ac:dyDescent="0.25">
      <c r="A52" t="s">
        <v>700</v>
      </c>
      <c r="B52" s="1">
        <v>46</v>
      </c>
    </row>
    <row r="53" spans="1:2" x14ac:dyDescent="0.25">
      <c r="A53" t="s">
        <v>697</v>
      </c>
      <c r="B53" s="1">
        <v>47</v>
      </c>
    </row>
    <row r="54" spans="1:2" x14ac:dyDescent="0.25">
      <c r="A54" t="s">
        <v>698</v>
      </c>
      <c r="B54" s="1">
        <v>48</v>
      </c>
    </row>
    <row r="55" spans="1:2" x14ac:dyDescent="0.25">
      <c r="A55" t="s">
        <v>699</v>
      </c>
      <c r="B55" s="1">
        <v>49</v>
      </c>
    </row>
    <row r="56" spans="1:2" x14ac:dyDescent="0.25">
      <c r="A56" t="s">
        <v>169</v>
      </c>
      <c r="B56" s="1">
        <v>50</v>
      </c>
    </row>
    <row r="57" spans="1:2" x14ac:dyDescent="0.25">
      <c r="A57" t="s">
        <v>170</v>
      </c>
      <c r="B57" s="1">
        <v>51</v>
      </c>
    </row>
    <row r="58" spans="1:2" x14ac:dyDescent="0.25">
      <c r="A58" t="s">
        <v>171</v>
      </c>
      <c r="B58" s="1">
        <v>52</v>
      </c>
    </row>
    <row r="59" spans="1:2" x14ac:dyDescent="0.25">
      <c r="A59" t="s">
        <v>172</v>
      </c>
      <c r="B59" s="1">
        <v>53</v>
      </c>
    </row>
    <row r="60" spans="1:2" x14ac:dyDescent="0.25">
      <c r="A60" t="s">
        <v>173</v>
      </c>
      <c r="B60" s="1">
        <v>54</v>
      </c>
    </row>
    <row r="61" spans="1:2" x14ac:dyDescent="0.25">
      <c r="A61" t="s">
        <v>174</v>
      </c>
      <c r="B61" s="1">
        <v>55</v>
      </c>
    </row>
    <row r="62" spans="1:2" x14ac:dyDescent="0.25">
      <c r="A62" t="s">
        <v>175</v>
      </c>
      <c r="B62" s="1">
        <v>56</v>
      </c>
    </row>
    <row r="63" spans="1:2" x14ac:dyDescent="0.25">
      <c r="A63" t="s">
        <v>176</v>
      </c>
      <c r="B63" s="1">
        <v>57</v>
      </c>
    </row>
    <row r="64" spans="1:2" x14ac:dyDescent="0.25">
      <c r="A64" t="s">
        <v>177</v>
      </c>
      <c r="B64" s="1">
        <v>58</v>
      </c>
    </row>
    <row r="65" spans="1:2" x14ac:dyDescent="0.25">
      <c r="A65" t="s">
        <v>178</v>
      </c>
      <c r="B65" s="1">
        <v>59</v>
      </c>
    </row>
    <row r="66" spans="1:2" x14ac:dyDescent="0.25">
      <c r="A66" t="s">
        <v>579</v>
      </c>
      <c r="B66" s="1">
        <v>60</v>
      </c>
    </row>
    <row r="67" spans="1:2" x14ac:dyDescent="0.25">
      <c r="A67" t="s">
        <v>580</v>
      </c>
      <c r="B67" s="1">
        <v>61</v>
      </c>
    </row>
    <row r="68" spans="1:2" x14ac:dyDescent="0.25">
      <c r="A68" t="s">
        <v>179</v>
      </c>
      <c r="B68" s="1">
        <v>62</v>
      </c>
    </row>
    <row r="69" spans="1:2" x14ac:dyDescent="0.25">
      <c r="A69" t="s">
        <v>180</v>
      </c>
      <c r="B69" s="1">
        <v>63</v>
      </c>
    </row>
    <row r="70" spans="1:2" x14ac:dyDescent="0.25">
      <c r="A70" t="s">
        <v>181</v>
      </c>
      <c r="B70" s="1">
        <v>64</v>
      </c>
    </row>
    <row r="71" spans="1:2" x14ac:dyDescent="0.25">
      <c r="A71" t="s">
        <v>182</v>
      </c>
      <c r="B71" s="1">
        <v>65</v>
      </c>
    </row>
    <row r="72" spans="1:2" x14ac:dyDescent="0.25">
      <c r="A72" t="s">
        <v>183</v>
      </c>
      <c r="B72" s="1">
        <v>66</v>
      </c>
    </row>
    <row r="73" spans="1:2" x14ac:dyDescent="0.25">
      <c r="A73" t="s">
        <v>184</v>
      </c>
      <c r="B73" s="1">
        <v>67</v>
      </c>
    </row>
    <row r="74" spans="1:2" x14ac:dyDescent="0.25">
      <c r="A74" t="s">
        <v>940</v>
      </c>
      <c r="B74" s="1">
        <v>68</v>
      </c>
    </row>
    <row r="75" spans="1:2" x14ac:dyDescent="0.25">
      <c r="A75" t="s">
        <v>941</v>
      </c>
      <c r="B75" s="1">
        <v>69</v>
      </c>
    </row>
    <row r="76" spans="1:2" x14ac:dyDescent="0.25">
      <c r="A76" t="s">
        <v>942</v>
      </c>
      <c r="B76" s="1">
        <v>70</v>
      </c>
    </row>
    <row r="77" spans="1:2" x14ac:dyDescent="0.25">
      <c r="A77" t="s">
        <v>943</v>
      </c>
      <c r="B77" s="1">
        <v>71</v>
      </c>
    </row>
    <row r="78" spans="1:2" x14ac:dyDescent="0.25">
      <c r="A78" t="s">
        <v>944</v>
      </c>
      <c r="B78" s="1">
        <v>72</v>
      </c>
    </row>
    <row r="79" spans="1:2" x14ac:dyDescent="0.25">
      <c r="A79" t="s">
        <v>945</v>
      </c>
      <c r="B79" s="1">
        <v>73</v>
      </c>
    </row>
    <row r="80" spans="1:2" x14ac:dyDescent="0.25">
      <c r="A80" t="s">
        <v>185</v>
      </c>
      <c r="B80" s="1">
        <v>74</v>
      </c>
    </row>
    <row r="81" spans="1:2" x14ac:dyDescent="0.25">
      <c r="A81" t="s">
        <v>186</v>
      </c>
      <c r="B81" s="1">
        <v>75</v>
      </c>
    </row>
    <row r="82" spans="1:2" x14ac:dyDescent="0.25">
      <c r="A82" t="s">
        <v>564</v>
      </c>
      <c r="B82" s="1">
        <v>76</v>
      </c>
    </row>
    <row r="83" spans="1:2" x14ac:dyDescent="0.25">
      <c r="A83" t="s">
        <v>187</v>
      </c>
      <c r="B83" s="3" t="s">
        <v>947</v>
      </c>
    </row>
    <row r="84" spans="1:2" x14ac:dyDescent="0.25">
      <c r="A84" t="s">
        <v>188</v>
      </c>
      <c r="B84" s="2" t="s">
        <v>946</v>
      </c>
    </row>
    <row r="85" spans="1:2" x14ac:dyDescent="0.25">
      <c r="A85" t="s">
        <v>583</v>
      </c>
      <c r="B85" s="2" t="s">
        <v>948</v>
      </c>
    </row>
    <row r="86" spans="1:2" x14ac:dyDescent="0.25">
      <c r="A86" t="s">
        <v>584</v>
      </c>
      <c r="B86" s="2" t="s">
        <v>949</v>
      </c>
    </row>
    <row r="87" spans="1:2" x14ac:dyDescent="0.25">
      <c r="A87" t="s">
        <v>585</v>
      </c>
      <c r="B87" s="2" t="s">
        <v>950</v>
      </c>
    </row>
    <row r="88" spans="1:2" x14ac:dyDescent="0.25">
      <c r="A88" t="s">
        <v>586</v>
      </c>
      <c r="B88" s="2" t="s">
        <v>951</v>
      </c>
    </row>
    <row r="89" spans="1:2" x14ac:dyDescent="0.25">
      <c r="A89" t="s">
        <v>587</v>
      </c>
      <c r="B89" s="2" t="s">
        <v>952</v>
      </c>
    </row>
    <row r="90" spans="1:2" s="5" customFormat="1" x14ac:dyDescent="0.25">
      <c r="A90" s="4" t="s">
        <v>588</v>
      </c>
      <c r="B90" s="6" t="s">
        <v>953</v>
      </c>
    </row>
    <row r="91" spans="1:2" s="5" customFormat="1" x14ac:dyDescent="0.25">
      <c r="A91" t="s">
        <v>607</v>
      </c>
      <c r="B91" s="6" t="s">
        <v>954</v>
      </c>
    </row>
    <row r="92" spans="1:2" s="5" customFormat="1" x14ac:dyDescent="0.25">
      <c r="A92" t="s">
        <v>609</v>
      </c>
      <c r="B92" s="6" t="s">
        <v>955</v>
      </c>
    </row>
    <row r="93" spans="1:2" s="5" customFormat="1" x14ac:dyDescent="0.25">
      <c r="A93" t="s">
        <v>608</v>
      </c>
      <c r="B93" s="6" t="s">
        <v>956</v>
      </c>
    </row>
    <row r="94" spans="1:2" s="5" customFormat="1" x14ac:dyDescent="0.25">
      <c r="A94" t="s">
        <v>610</v>
      </c>
      <c r="B94" s="6" t="s">
        <v>957</v>
      </c>
    </row>
    <row r="95" spans="1:2" s="5" customFormat="1" x14ac:dyDescent="0.25">
      <c r="A95" t="s">
        <v>611</v>
      </c>
      <c r="B95" s="6" t="s">
        <v>958</v>
      </c>
    </row>
    <row r="96" spans="1:2" s="5" customFormat="1" x14ac:dyDescent="0.25">
      <c r="A96" s="4" t="s">
        <v>612</v>
      </c>
      <c r="B96" s="6" t="s">
        <v>959</v>
      </c>
    </row>
    <row r="97" spans="1:2" s="5" customFormat="1" x14ac:dyDescent="0.25">
      <c r="A97" s="5" t="s">
        <v>613</v>
      </c>
      <c r="B97" s="6" t="s">
        <v>960</v>
      </c>
    </row>
    <row r="98" spans="1:2" s="5" customFormat="1" x14ac:dyDescent="0.25">
      <c r="A98" t="s">
        <v>1097</v>
      </c>
      <c r="B98" s="6" t="s">
        <v>961</v>
      </c>
    </row>
    <row r="99" spans="1:2" s="5" customFormat="1" x14ac:dyDescent="0.25">
      <c r="A99" t="s">
        <v>1098</v>
      </c>
      <c r="B99" s="6" t="s">
        <v>962</v>
      </c>
    </row>
    <row r="100" spans="1:2" s="5" customFormat="1" x14ac:dyDescent="0.25">
      <c r="A100" t="s">
        <v>1099</v>
      </c>
      <c r="B100" s="6" t="s">
        <v>963</v>
      </c>
    </row>
    <row r="101" spans="1:2" s="5" customFormat="1" x14ac:dyDescent="0.25">
      <c r="A101" t="s">
        <v>1100</v>
      </c>
      <c r="B101" s="6" t="s">
        <v>964</v>
      </c>
    </row>
    <row r="102" spans="1:2" s="5" customFormat="1" x14ac:dyDescent="0.25">
      <c r="A102" t="s">
        <v>1101</v>
      </c>
      <c r="B102" s="6" t="s">
        <v>965</v>
      </c>
    </row>
    <row r="103" spans="1:2" s="5" customFormat="1" x14ac:dyDescent="0.25">
      <c r="A103" t="s">
        <v>1102</v>
      </c>
      <c r="B103" s="6" t="s">
        <v>966</v>
      </c>
    </row>
    <row r="104" spans="1:2" s="5" customFormat="1" x14ac:dyDescent="0.25">
      <c r="A104" t="s">
        <v>1103</v>
      </c>
      <c r="B104" s="6" t="s">
        <v>967</v>
      </c>
    </row>
    <row r="105" spans="1:2" s="5" customFormat="1" x14ac:dyDescent="0.25">
      <c r="A105" t="s">
        <v>1104</v>
      </c>
      <c r="B105" s="6" t="s">
        <v>968</v>
      </c>
    </row>
    <row r="106" spans="1:2" s="5" customFormat="1" x14ac:dyDescent="0.25">
      <c r="A106" t="s">
        <v>1105</v>
      </c>
      <c r="B106" s="6" t="s">
        <v>969</v>
      </c>
    </row>
    <row r="107" spans="1:2" s="5" customFormat="1" x14ac:dyDescent="0.25">
      <c r="A107" s="4" t="s">
        <v>1106</v>
      </c>
      <c r="B107" s="6" t="s">
        <v>970</v>
      </c>
    </row>
    <row r="108" spans="1:2" s="5" customFormat="1" x14ac:dyDescent="0.25">
      <c r="A108" s="5" t="s">
        <v>1107</v>
      </c>
      <c r="B108" s="6" t="s">
        <v>971</v>
      </c>
    </row>
    <row r="109" spans="1:2" s="5" customFormat="1" x14ac:dyDescent="0.25">
      <c r="A109" s="5" t="s">
        <v>1108</v>
      </c>
      <c r="B109" s="6" t="s">
        <v>972</v>
      </c>
    </row>
    <row r="110" spans="1:2" s="5" customFormat="1" x14ac:dyDescent="0.25">
      <c r="A110" s="5" t="s">
        <v>1109</v>
      </c>
      <c r="B110" s="6" t="s">
        <v>973</v>
      </c>
    </row>
    <row r="111" spans="1:2" s="5" customFormat="1" x14ac:dyDescent="0.25">
      <c r="A111" s="5" t="s">
        <v>1110</v>
      </c>
      <c r="B111" s="6" t="s">
        <v>1111</v>
      </c>
    </row>
    <row r="112" spans="1:2" s="5" customFormat="1" x14ac:dyDescent="0.25">
      <c r="A112" t="s">
        <v>908</v>
      </c>
      <c r="B112" s="6" t="s">
        <v>1112</v>
      </c>
    </row>
    <row r="113" spans="1:2" s="5" customFormat="1" x14ac:dyDescent="0.25">
      <c r="A113" t="s">
        <v>909</v>
      </c>
      <c r="B113" s="6" t="s">
        <v>1113</v>
      </c>
    </row>
    <row r="114" spans="1:2" s="5" customFormat="1" x14ac:dyDescent="0.25">
      <c r="A114" t="s">
        <v>910</v>
      </c>
      <c r="B114" s="6" t="s">
        <v>1114</v>
      </c>
    </row>
    <row r="115" spans="1:2" s="5" customFormat="1" x14ac:dyDescent="0.25">
      <c r="A115" t="s">
        <v>911</v>
      </c>
      <c r="B115" s="6" t="s">
        <v>1115</v>
      </c>
    </row>
    <row r="116" spans="1:2" s="5" customFormat="1" x14ac:dyDescent="0.25">
      <c r="A116" t="s">
        <v>565</v>
      </c>
      <c r="B116" s="6" t="s">
        <v>1116</v>
      </c>
    </row>
    <row r="117" spans="1:2" s="5" customFormat="1" x14ac:dyDescent="0.25">
      <c r="A117" t="s">
        <v>566</v>
      </c>
      <c r="B117" s="6" t="s">
        <v>1117</v>
      </c>
    </row>
    <row r="118" spans="1:2" s="5" customFormat="1" x14ac:dyDescent="0.25">
      <c r="A118" t="s">
        <v>567</v>
      </c>
      <c r="B118" s="6" t="s">
        <v>1118</v>
      </c>
    </row>
    <row r="119" spans="1:2" s="5" customFormat="1" x14ac:dyDescent="0.25">
      <c r="A119" t="s">
        <v>568</v>
      </c>
      <c r="B119" s="6" t="s">
        <v>1119</v>
      </c>
    </row>
    <row r="120" spans="1:2" s="5" customFormat="1" x14ac:dyDescent="0.25">
      <c r="A120" t="s">
        <v>569</v>
      </c>
      <c r="B120" s="6" t="s">
        <v>1120</v>
      </c>
    </row>
    <row r="121" spans="1:2" s="5" customFormat="1" x14ac:dyDescent="0.25">
      <c r="A121" s="4" t="s">
        <v>570</v>
      </c>
      <c r="B121" s="6" t="s">
        <v>1121</v>
      </c>
    </row>
    <row r="122" spans="1:2" s="5" customFormat="1" x14ac:dyDescent="0.25">
      <c r="A122" s="5" t="s">
        <v>571</v>
      </c>
      <c r="B122" s="6" t="s">
        <v>1122</v>
      </c>
    </row>
    <row r="123" spans="1:2" s="5" customFormat="1" x14ac:dyDescent="0.25">
      <c r="A123" s="5" t="s">
        <v>572</v>
      </c>
      <c r="B123" s="6" t="s">
        <v>1123</v>
      </c>
    </row>
    <row r="124" spans="1:2" s="5" customFormat="1" x14ac:dyDescent="0.25">
      <c r="A124" s="5" t="s">
        <v>573</v>
      </c>
      <c r="B124" s="6" t="s">
        <v>1124</v>
      </c>
    </row>
    <row r="125" spans="1:2" x14ac:dyDescent="0.25">
      <c r="A125" t="s">
        <v>97</v>
      </c>
      <c r="B125" s="1">
        <v>1</v>
      </c>
    </row>
    <row r="126" spans="1:2" x14ac:dyDescent="0.25">
      <c r="A126" t="s">
        <v>98</v>
      </c>
      <c r="B126" s="1">
        <v>2</v>
      </c>
    </row>
    <row r="127" spans="1:2" x14ac:dyDescent="0.25">
      <c r="A127" t="s">
        <v>50</v>
      </c>
      <c r="B127" s="1">
        <v>3</v>
      </c>
    </row>
    <row r="128" spans="1:2" x14ac:dyDescent="0.25">
      <c r="A128" t="s">
        <v>51</v>
      </c>
      <c r="B128" s="1">
        <v>4</v>
      </c>
    </row>
    <row r="129" spans="1:2" x14ac:dyDescent="0.25">
      <c r="A129" t="s">
        <v>52</v>
      </c>
      <c r="B129" s="1">
        <v>5</v>
      </c>
    </row>
    <row r="130" spans="1:2" x14ac:dyDescent="0.25">
      <c r="A130" t="s">
        <v>696</v>
      </c>
      <c r="B130" s="1">
        <v>6</v>
      </c>
    </row>
    <row r="131" spans="1:2" x14ac:dyDescent="0.25">
      <c r="A131" t="s">
        <v>904</v>
      </c>
      <c r="B131" s="1">
        <v>7</v>
      </c>
    </row>
    <row r="132" spans="1:2" x14ac:dyDescent="0.25">
      <c r="A132" t="s">
        <v>902</v>
      </c>
      <c r="B132" s="1">
        <v>8</v>
      </c>
    </row>
    <row r="133" spans="1:2" x14ac:dyDescent="0.25">
      <c r="A133" t="s">
        <v>53</v>
      </c>
      <c r="B133" s="1">
        <v>9</v>
      </c>
    </row>
    <row r="134" spans="1:2" x14ac:dyDescent="0.25">
      <c r="A134" t="s">
        <v>54</v>
      </c>
      <c r="B134" s="1">
        <v>10</v>
      </c>
    </row>
    <row r="135" spans="1:2" x14ac:dyDescent="0.25">
      <c r="A135" t="s">
        <v>55</v>
      </c>
      <c r="B135" s="1">
        <v>12</v>
      </c>
    </row>
    <row r="136" spans="1:2" x14ac:dyDescent="0.25">
      <c r="A136" t="s">
        <v>704</v>
      </c>
      <c r="B136" s="1">
        <v>13</v>
      </c>
    </row>
    <row r="137" spans="1:2" x14ac:dyDescent="0.25">
      <c r="A137" t="s">
        <v>701</v>
      </c>
      <c r="B137" s="1">
        <v>14</v>
      </c>
    </row>
    <row r="138" spans="1:2" x14ac:dyDescent="0.25">
      <c r="A138" t="s">
        <v>702</v>
      </c>
      <c r="B138" s="1">
        <v>15</v>
      </c>
    </row>
    <row r="139" spans="1:2" x14ac:dyDescent="0.25">
      <c r="A139" t="s">
        <v>703</v>
      </c>
      <c r="B139" s="1">
        <v>16</v>
      </c>
    </row>
    <row r="140" spans="1:2" x14ac:dyDescent="0.25">
      <c r="A140" t="s">
        <v>56</v>
      </c>
      <c r="B140" s="1">
        <v>17</v>
      </c>
    </row>
    <row r="141" spans="1:2" x14ac:dyDescent="0.25">
      <c r="A141" t="s">
        <v>57</v>
      </c>
      <c r="B141" s="1">
        <v>18</v>
      </c>
    </row>
    <row r="142" spans="1:2" x14ac:dyDescent="0.25">
      <c r="A142" t="s">
        <v>58</v>
      </c>
      <c r="B142" s="1">
        <v>19</v>
      </c>
    </row>
    <row r="143" spans="1:2" x14ac:dyDescent="0.25">
      <c r="A143" t="s">
        <v>901</v>
      </c>
      <c r="B143" s="1">
        <v>20</v>
      </c>
    </row>
    <row r="144" spans="1:2" x14ac:dyDescent="0.25">
      <c r="A144" t="s">
        <v>59</v>
      </c>
      <c r="B144" s="1">
        <v>21</v>
      </c>
    </row>
    <row r="145" spans="1:2" x14ac:dyDescent="0.25">
      <c r="A145" t="s">
        <v>60</v>
      </c>
      <c r="B145" s="1">
        <v>22</v>
      </c>
    </row>
    <row r="146" spans="1:2" x14ac:dyDescent="0.25">
      <c r="A146" t="s">
        <v>61</v>
      </c>
      <c r="B146" s="1">
        <v>23</v>
      </c>
    </row>
    <row r="147" spans="1:2" x14ac:dyDescent="0.25">
      <c r="A147" t="s">
        <v>62</v>
      </c>
      <c r="B147" s="1">
        <v>24</v>
      </c>
    </row>
    <row r="148" spans="1:2" x14ac:dyDescent="0.25">
      <c r="A148" t="s">
        <v>63</v>
      </c>
      <c r="B148" s="1">
        <v>25</v>
      </c>
    </row>
    <row r="149" spans="1:2" x14ac:dyDescent="0.25">
      <c r="A149" t="s">
        <v>64</v>
      </c>
      <c r="B149" s="1">
        <v>26</v>
      </c>
    </row>
    <row r="150" spans="1:2" x14ac:dyDescent="0.25">
      <c r="A150" t="s">
        <v>65</v>
      </c>
      <c r="B150" s="1">
        <v>27</v>
      </c>
    </row>
    <row r="151" spans="1:2" x14ac:dyDescent="0.25">
      <c r="A151" t="s">
        <v>66</v>
      </c>
      <c r="B151" s="1">
        <v>28</v>
      </c>
    </row>
    <row r="152" spans="1:2" x14ac:dyDescent="0.25">
      <c r="A152" t="s">
        <v>67</v>
      </c>
      <c r="B152" s="1">
        <v>29</v>
      </c>
    </row>
    <row r="153" spans="1:2" x14ac:dyDescent="0.25">
      <c r="A153" t="s">
        <v>68</v>
      </c>
      <c r="B153" s="1">
        <v>30</v>
      </c>
    </row>
    <row r="154" spans="1:2" x14ac:dyDescent="0.25">
      <c r="A154" t="s">
        <v>69</v>
      </c>
      <c r="B154" s="1">
        <v>31</v>
      </c>
    </row>
    <row r="155" spans="1:2" x14ac:dyDescent="0.25">
      <c r="A155" t="s">
        <v>70</v>
      </c>
      <c r="B155" s="1">
        <v>32</v>
      </c>
    </row>
    <row r="156" spans="1:2" x14ac:dyDescent="0.25">
      <c r="A156" t="s">
        <v>974</v>
      </c>
      <c r="B156" s="1">
        <v>33</v>
      </c>
    </row>
    <row r="157" spans="1:2" x14ac:dyDescent="0.25">
      <c r="A157" t="s">
        <v>975</v>
      </c>
      <c r="B157" s="1">
        <v>34</v>
      </c>
    </row>
    <row r="158" spans="1:2" x14ac:dyDescent="0.25">
      <c r="A158" t="s">
        <v>976</v>
      </c>
      <c r="B158" s="1">
        <v>35</v>
      </c>
    </row>
    <row r="159" spans="1:2" x14ac:dyDescent="0.25">
      <c r="A159" t="s">
        <v>977</v>
      </c>
      <c r="B159" s="1">
        <v>36</v>
      </c>
    </row>
    <row r="160" spans="1:2" x14ac:dyDescent="0.25">
      <c r="A160" t="s">
        <v>978</v>
      </c>
      <c r="B160" s="1">
        <v>37</v>
      </c>
    </row>
    <row r="161" spans="1:2" x14ac:dyDescent="0.25">
      <c r="A161" t="s">
        <v>979</v>
      </c>
      <c r="B161" s="1">
        <v>38</v>
      </c>
    </row>
    <row r="162" spans="1:2" x14ac:dyDescent="0.25">
      <c r="A162" t="s">
        <v>71</v>
      </c>
      <c r="B162" s="1">
        <v>39</v>
      </c>
    </row>
    <row r="163" spans="1:2" x14ac:dyDescent="0.25">
      <c r="A163" t="s">
        <v>72</v>
      </c>
      <c r="B163" s="1">
        <v>40</v>
      </c>
    </row>
    <row r="164" spans="1:2" x14ac:dyDescent="0.25">
      <c r="A164" t="s">
        <v>73</v>
      </c>
      <c r="B164" s="1">
        <v>41</v>
      </c>
    </row>
    <row r="165" spans="1:2" x14ac:dyDescent="0.25">
      <c r="A165" t="s">
        <v>74</v>
      </c>
      <c r="B165" s="1">
        <v>43</v>
      </c>
    </row>
    <row r="166" spans="1:2" x14ac:dyDescent="0.25">
      <c r="A166" t="s">
        <v>708</v>
      </c>
      <c r="B166" s="1">
        <v>44</v>
      </c>
    </row>
    <row r="167" spans="1:2" x14ac:dyDescent="0.25">
      <c r="A167" t="s">
        <v>705</v>
      </c>
      <c r="B167" s="1">
        <v>45</v>
      </c>
    </row>
    <row r="168" spans="1:2" x14ac:dyDescent="0.25">
      <c r="A168" t="s">
        <v>706</v>
      </c>
      <c r="B168" s="1">
        <v>46</v>
      </c>
    </row>
    <row r="169" spans="1:2" x14ac:dyDescent="0.25">
      <c r="A169" t="s">
        <v>707</v>
      </c>
      <c r="B169" s="1">
        <v>47</v>
      </c>
    </row>
    <row r="170" spans="1:2" x14ac:dyDescent="0.25">
      <c r="A170" t="s">
        <v>75</v>
      </c>
      <c r="B170" s="1">
        <v>48</v>
      </c>
    </row>
    <row r="171" spans="1:2" x14ac:dyDescent="0.25">
      <c r="A171" t="s">
        <v>76</v>
      </c>
      <c r="B171" s="1">
        <v>49</v>
      </c>
    </row>
    <row r="172" spans="1:2" x14ac:dyDescent="0.25">
      <c r="A172" t="s">
        <v>77</v>
      </c>
      <c r="B172" s="1">
        <v>50</v>
      </c>
    </row>
    <row r="173" spans="1:2" x14ac:dyDescent="0.25">
      <c r="A173" t="s">
        <v>78</v>
      </c>
      <c r="B173" s="1">
        <v>51</v>
      </c>
    </row>
    <row r="174" spans="1:2" x14ac:dyDescent="0.25">
      <c r="A174" t="s">
        <v>79</v>
      </c>
      <c r="B174" s="1">
        <v>52</v>
      </c>
    </row>
    <row r="175" spans="1:2" x14ac:dyDescent="0.25">
      <c r="A175" t="s">
        <v>80</v>
      </c>
      <c r="B175" s="1">
        <v>53</v>
      </c>
    </row>
    <row r="176" spans="1:2" x14ac:dyDescent="0.25">
      <c r="A176" t="s">
        <v>81</v>
      </c>
      <c r="B176" s="1">
        <v>54</v>
      </c>
    </row>
    <row r="177" spans="1:2" x14ac:dyDescent="0.25">
      <c r="A177" t="s">
        <v>82</v>
      </c>
      <c r="B177" s="1">
        <v>55</v>
      </c>
    </row>
    <row r="178" spans="1:2" x14ac:dyDescent="0.25">
      <c r="A178" t="s">
        <v>83</v>
      </c>
      <c r="B178" s="1">
        <v>56</v>
      </c>
    </row>
    <row r="179" spans="1:2" x14ac:dyDescent="0.25">
      <c r="A179" t="s">
        <v>84</v>
      </c>
      <c r="B179" s="1">
        <v>57</v>
      </c>
    </row>
    <row r="180" spans="1:2" x14ac:dyDescent="0.25">
      <c r="A180" t="s">
        <v>85</v>
      </c>
      <c r="B180" s="1">
        <v>58</v>
      </c>
    </row>
    <row r="181" spans="1:2" x14ac:dyDescent="0.25">
      <c r="A181" t="s">
        <v>86</v>
      </c>
      <c r="B181" s="1">
        <v>59</v>
      </c>
    </row>
    <row r="182" spans="1:2" x14ac:dyDescent="0.25">
      <c r="A182" t="s">
        <v>87</v>
      </c>
      <c r="B182" s="1">
        <v>60</v>
      </c>
    </row>
    <row r="183" spans="1:2" x14ac:dyDescent="0.25">
      <c r="A183" t="s">
        <v>88</v>
      </c>
      <c r="B183" s="1">
        <v>61</v>
      </c>
    </row>
    <row r="184" spans="1:2" x14ac:dyDescent="0.25">
      <c r="A184" t="s">
        <v>89</v>
      </c>
      <c r="B184" s="1">
        <v>62</v>
      </c>
    </row>
    <row r="185" spans="1:2" x14ac:dyDescent="0.25">
      <c r="A185" t="s">
        <v>90</v>
      </c>
      <c r="B185" s="1">
        <v>63</v>
      </c>
    </row>
    <row r="186" spans="1:2" x14ac:dyDescent="0.25">
      <c r="A186" t="s">
        <v>980</v>
      </c>
      <c r="B186" s="1">
        <v>64</v>
      </c>
    </row>
    <row r="187" spans="1:2" x14ac:dyDescent="0.25">
      <c r="A187" t="s">
        <v>981</v>
      </c>
      <c r="B187" s="1">
        <v>65</v>
      </c>
    </row>
    <row r="188" spans="1:2" x14ac:dyDescent="0.25">
      <c r="A188" t="s">
        <v>982</v>
      </c>
      <c r="B188" s="1">
        <v>66</v>
      </c>
    </row>
    <row r="189" spans="1:2" x14ac:dyDescent="0.25">
      <c r="A189" t="s">
        <v>983</v>
      </c>
      <c r="B189" s="1">
        <v>67</v>
      </c>
    </row>
    <row r="190" spans="1:2" x14ac:dyDescent="0.25">
      <c r="A190" t="s">
        <v>984</v>
      </c>
      <c r="B190" s="1">
        <v>68</v>
      </c>
    </row>
    <row r="191" spans="1:2" x14ac:dyDescent="0.25">
      <c r="A191" t="s">
        <v>985</v>
      </c>
      <c r="B191" s="1">
        <v>69</v>
      </c>
    </row>
    <row r="192" spans="1:2" x14ac:dyDescent="0.25">
      <c r="A192" t="s">
        <v>91</v>
      </c>
      <c r="B192" s="1">
        <v>70</v>
      </c>
    </row>
    <row r="193" spans="1:2" x14ac:dyDescent="0.25">
      <c r="A193" t="s">
        <v>92</v>
      </c>
      <c r="B193" s="1">
        <v>71</v>
      </c>
    </row>
    <row r="194" spans="1:2" x14ac:dyDescent="0.25">
      <c r="A194" t="s">
        <v>93</v>
      </c>
      <c r="B194" s="1">
        <v>72</v>
      </c>
    </row>
    <row r="195" spans="1:2" x14ac:dyDescent="0.25">
      <c r="A195" t="s">
        <v>94</v>
      </c>
      <c r="B195" s="2" t="s">
        <v>986</v>
      </c>
    </row>
    <row r="196" spans="1:2" x14ac:dyDescent="0.25">
      <c r="A196" t="s">
        <v>95</v>
      </c>
      <c r="B196" s="2" t="s">
        <v>987</v>
      </c>
    </row>
    <row r="197" spans="1:2" x14ac:dyDescent="0.25">
      <c r="A197" t="s">
        <v>589</v>
      </c>
      <c r="B197" s="2" t="s">
        <v>988</v>
      </c>
    </row>
    <row r="198" spans="1:2" x14ac:dyDescent="0.25">
      <c r="A198" t="s">
        <v>590</v>
      </c>
      <c r="B198" s="2" t="s">
        <v>989</v>
      </c>
    </row>
    <row r="199" spans="1:2" x14ac:dyDescent="0.25">
      <c r="A199" t="s">
        <v>591</v>
      </c>
      <c r="B199" s="2" t="s">
        <v>990</v>
      </c>
    </row>
    <row r="200" spans="1:2" x14ac:dyDescent="0.25">
      <c r="A200" t="s">
        <v>592</v>
      </c>
      <c r="B200" s="2" t="s">
        <v>991</v>
      </c>
    </row>
    <row r="201" spans="1:2" x14ac:dyDescent="0.25">
      <c r="A201" t="s">
        <v>593</v>
      </c>
      <c r="B201" s="2" t="s">
        <v>992</v>
      </c>
    </row>
    <row r="202" spans="1:2" x14ac:dyDescent="0.25">
      <c r="A202" s="4" t="s">
        <v>594</v>
      </c>
      <c r="B202" s="2" t="s">
        <v>993</v>
      </c>
    </row>
    <row r="203" spans="1:2" x14ac:dyDescent="0.25">
      <c r="A203" t="s">
        <v>614</v>
      </c>
      <c r="B203" s="2" t="s">
        <v>994</v>
      </c>
    </row>
    <row r="204" spans="1:2" x14ac:dyDescent="0.25">
      <c r="A204" t="s">
        <v>615</v>
      </c>
      <c r="B204" s="2" t="s">
        <v>995</v>
      </c>
    </row>
    <row r="205" spans="1:2" x14ac:dyDescent="0.25">
      <c r="A205" t="s">
        <v>616</v>
      </c>
      <c r="B205" s="2" t="s">
        <v>996</v>
      </c>
    </row>
    <row r="206" spans="1:2" x14ac:dyDescent="0.25">
      <c r="A206" t="s">
        <v>617</v>
      </c>
      <c r="B206" s="2" t="s">
        <v>997</v>
      </c>
    </row>
    <row r="207" spans="1:2" x14ac:dyDescent="0.25">
      <c r="A207" t="s">
        <v>618</v>
      </c>
      <c r="B207" s="2" t="s">
        <v>998</v>
      </c>
    </row>
    <row r="208" spans="1:2" x14ac:dyDescent="0.25">
      <c r="A208" s="4" t="s">
        <v>619</v>
      </c>
      <c r="B208" s="2" t="s">
        <v>999</v>
      </c>
    </row>
    <row r="209" spans="1:2" x14ac:dyDescent="0.25">
      <c r="A209" s="5" t="s">
        <v>620</v>
      </c>
      <c r="B209" s="2" t="s">
        <v>1000</v>
      </c>
    </row>
    <row r="210" spans="1:2" s="5" customFormat="1" x14ac:dyDescent="0.25">
      <c r="A210" t="s">
        <v>1125</v>
      </c>
      <c r="B210" s="6" t="s">
        <v>1139</v>
      </c>
    </row>
    <row r="211" spans="1:2" s="5" customFormat="1" x14ac:dyDescent="0.25">
      <c r="A211" t="s">
        <v>1126</v>
      </c>
      <c r="B211" s="6" t="s">
        <v>1140</v>
      </c>
    </row>
    <row r="212" spans="1:2" s="5" customFormat="1" x14ac:dyDescent="0.25">
      <c r="A212" t="s">
        <v>1127</v>
      </c>
      <c r="B212" s="6" t="s">
        <v>1141</v>
      </c>
    </row>
    <row r="213" spans="1:2" s="5" customFormat="1" x14ac:dyDescent="0.25">
      <c r="A213" t="s">
        <v>1128</v>
      </c>
      <c r="B213" s="6" t="s">
        <v>1142</v>
      </c>
    </row>
    <row r="214" spans="1:2" s="5" customFormat="1" x14ac:dyDescent="0.25">
      <c r="A214" t="s">
        <v>1129</v>
      </c>
      <c r="B214" s="6" t="s">
        <v>1143</v>
      </c>
    </row>
    <row r="215" spans="1:2" s="5" customFormat="1" x14ac:dyDescent="0.25">
      <c r="A215" t="s">
        <v>1130</v>
      </c>
      <c r="B215" s="6" t="s">
        <v>1144</v>
      </c>
    </row>
    <row r="216" spans="1:2" s="5" customFormat="1" x14ac:dyDescent="0.25">
      <c r="A216" t="s">
        <v>1131</v>
      </c>
      <c r="B216" s="6" t="s">
        <v>1145</v>
      </c>
    </row>
    <row r="217" spans="1:2" s="5" customFormat="1" x14ac:dyDescent="0.25">
      <c r="A217" t="s">
        <v>1132</v>
      </c>
      <c r="B217" s="6" t="s">
        <v>1146</v>
      </c>
    </row>
    <row r="218" spans="1:2" s="5" customFormat="1" x14ac:dyDescent="0.25">
      <c r="A218" t="s">
        <v>1133</v>
      </c>
      <c r="B218" s="6" t="s">
        <v>1147</v>
      </c>
    </row>
    <row r="219" spans="1:2" s="5" customFormat="1" x14ac:dyDescent="0.25">
      <c r="A219" s="4" t="s">
        <v>1134</v>
      </c>
      <c r="B219" s="6" t="s">
        <v>1148</v>
      </c>
    </row>
    <row r="220" spans="1:2" s="5" customFormat="1" x14ac:dyDescent="0.25">
      <c r="A220" s="5" t="s">
        <v>1135</v>
      </c>
      <c r="B220" s="6" t="s">
        <v>1149</v>
      </c>
    </row>
    <row r="221" spans="1:2" s="5" customFormat="1" x14ac:dyDescent="0.25">
      <c r="A221" s="5" t="s">
        <v>1136</v>
      </c>
      <c r="B221" s="6" t="s">
        <v>1150</v>
      </c>
    </row>
    <row r="222" spans="1:2" s="5" customFormat="1" x14ac:dyDescent="0.25">
      <c r="A222" s="5" t="s">
        <v>1137</v>
      </c>
      <c r="B222" s="6" t="s">
        <v>1151</v>
      </c>
    </row>
    <row r="223" spans="1:2" s="5" customFormat="1" x14ac:dyDescent="0.25">
      <c r="A223" s="5" t="s">
        <v>1138</v>
      </c>
      <c r="B223" s="6" t="s">
        <v>1152</v>
      </c>
    </row>
    <row r="224" spans="1:2" x14ac:dyDescent="0.25">
      <c r="A224" t="s">
        <v>912</v>
      </c>
      <c r="B224" s="6" t="s">
        <v>1153</v>
      </c>
    </row>
    <row r="225" spans="1:2" x14ac:dyDescent="0.25">
      <c r="A225" t="s">
        <v>913</v>
      </c>
      <c r="B225" s="6" t="s">
        <v>1154</v>
      </c>
    </row>
    <row r="226" spans="1:2" x14ac:dyDescent="0.25">
      <c r="A226" t="s">
        <v>914</v>
      </c>
      <c r="B226" s="6" t="s">
        <v>1155</v>
      </c>
    </row>
    <row r="227" spans="1:2" x14ac:dyDescent="0.25">
      <c r="A227" t="s">
        <v>915</v>
      </c>
      <c r="B227" s="6" t="s">
        <v>1156</v>
      </c>
    </row>
    <row r="228" spans="1:2" x14ac:dyDescent="0.25">
      <c r="A228" t="s">
        <v>276</v>
      </c>
      <c r="B228" s="6" t="s">
        <v>1157</v>
      </c>
    </row>
    <row r="229" spans="1:2" x14ac:dyDescent="0.25">
      <c r="A229" t="s">
        <v>275</v>
      </c>
      <c r="B229" s="6" t="s">
        <v>1158</v>
      </c>
    </row>
    <row r="230" spans="1:2" x14ac:dyDescent="0.25">
      <c r="A230" t="s">
        <v>538</v>
      </c>
      <c r="B230" s="6" t="s">
        <v>1159</v>
      </c>
    </row>
    <row r="231" spans="1:2" x14ac:dyDescent="0.25">
      <c r="A231" t="s">
        <v>539</v>
      </c>
      <c r="B231" s="6" t="s">
        <v>1160</v>
      </c>
    </row>
    <row r="232" spans="1:2" x14ac:dyDescent="0.25">
      <c r="A232" t="s">
        <v>543</v>
      </c>
      <c r="B232" s="6" t="s">
        <v>1161</v>
      </c>
    </row>
    <row r="233" spans="1:2" x14ac:dyDescent="0.25">
      <c r="A233" s="4" t="s">
        <v>544</v>
      </c>
      <c r="B233" s="6" t="s">
        <v>1162</v>
      </c>
    </row>
    <row r="234" spans="1:2" x14ac:dyDescent="0.25">
      <c r="A234" s="5" t="s">
        <v>545</v>
      </c>
      <c r="B234" s="6" t="s">
        <v>1163</v>
      </c>
    </row>
    <row r="235" spans="1:2" x14ac:dyDescent="0.25">
      <c r="A235" s="5" t="s">
        <v>546</v>
      </c>
      <c r="B235" s="6" t="s">
        <v>1164</v>
      </c>
    </row>
    <row r="236" spans="1:2" x14ac:dyDescent="0.25">
      <c r="A236" s="5" t="s">
        <v>547</v>
      </c>
      <c r="B236" s="6" t="s">
        <v>1165</v>
      </c>
    </row>
    <row r="237" spans="1:2" x14ac:dyDescent="0.25">
      <c r="A237" t="s">
        <v>190</v>
      </c>
      <c r="B237" s="1">
        <v>1</v>
      </c>
    </row>
    <row r="238" spans="1:2" x14ac:dyDescent="0.25">
      <c r="A238" t="s">
        <v>191</v>
      </c>
      <c r="B238" s="1">
        <v>2</v>
      </c>
    </row>
    <row r="239" spans="1:2" x14ac:dyDescent="0.25">
      <c r="A239" t="s">
        <v>192</v>
      </c>
      <c r="B239" s="1">
        <v>3</v>
      </c>
    </row>
    <row r="240" spans="1:2" x14ac:dyDescent="0.25">
      <c r="A240" t="s">
        <v>193</v>
      </c>
      <c r="B240" s="1">
        <v>4</v>
      </c>
    </row>
    <row r="241" spans="1:2" x14ac:dyDescent="0.25">
      <c r="A241" t="s">
        <v>194</v>
      </c>
      <c r="B241" s="1">
        <v>5</v>
      </c>
    </row>
    <row r="242" spans="1:2" x14ac:dyDescent="0.25">
      <c r="A242" t="s">
        <v>717</v>
      </c>
      <c r="B242" s="1">
        <v>6</v>
      </c>
    </row>
    <row r="243" spans="1:2" x14ac:dyDescent="0.25">
      <c r="A243" t="s">
        <v>905</v>
      </c>
      <c r="B243" s="1">
        <v>7</v>
      </c>
    </row>
    <row r="244" spans="1:2" x14ac:dyDescent="0.25">
      <c r="A244" t="s">
        <v>717</v>
      </c>
      <c r="B244" s="1">
        <v>8</v>
      </c>
    </row>
    <row r="245" spans="1:2" x14ac:dyDescent="0.25">
      <c r="A245" t="s">
        <v>195</v>
      </c>
      <c r="B245" s="1">
        <v>9</v>
      </c>
    </row>
    <row r="246" spans="1:2" x14ac:dyDescent="0.25">
      <c r="A246" t="s">
        <v>196</v>
      </c>
      <c r="B246" s="1">
        <v>10</v>
      </c>
    </row>
    <row r="247" spans="1:2" x14ac:dyDescent="0.25">
      <c r="A247" t="s">
        <v>197</v>
      </c>
      <c r="B247" s="1">
        <v>12</v>
      </c>
    </row>
    <row r="248" spans="1:2" x14ac:dyDescent="0.25">
      <c r="A248" t="s">
        <v>712</v>
      </c>
      <c r="B248" s="1">
        <v>13</v>
      </c>
    </row>
    <row r="249" spans="1:2" x14ac:dyDescent="0.25">
      <c r="A249" t="s">
        <v>709</v>
      </c>
      <c r="B249" s="1">
        <v>14</v>
      </c>
    </row>
    <row r="250" spans="1:2" x14ac:dyDescent="0.25">
      <c r="A250" t="s">
        <v>710</v>
      </c>
      <c r="B250" s="1">
        <v>15</v>
      </c>
    </row>
    <row r="251" spans="1:2" x14ac:dyDescent="0.25">
      <c r="A251" t="s">
        <v>711</v>
      </c>
      <c r="B251" s="1">
        <v>16</v>
      </c>
    </row>
    <row r="252" spans="1:2" x14ac:dyDescent="0.25">
      <c r="A252" t="s">
        <v>198</v>
      </c>
      <c r="B252" s="1">
        <v>17</v>
      </c>
    </row>
    <row r="253" spans="1:2" x14ac:dyDescent="0.25">
      <c r="A253" t="s">
        <v>199</v>
      </c>
      <c r="B253" s="1">
        <v>18</v>
      </c>
    </row>
    <row r="254" spans="1:2" x14ac:dyDescent="0.25">
      <c r="A254" t="s">
        <v>200</v>
      </c>
      <c r="B254" s="1">
        <v>19</v>
      </c>
    </row>
    <row r="255" spans="1:2" x14ac:dyDescent="0.25">
      <c r="A255" t="s">
        <v>201</v>
      </c>
      <c r="B255" s="1">
        <v>20</v>
      </c>
    </row>
    <row r="256" spans="1:2" x14ac:dyDescent="0.25">
      <c r="A256" t="s">
        <v>202</v>
      </c>
      <c r="B256" s="1">
        <v>21</v>
      </c>
    </row>
    <row r="257" spans="1:2" x14ac:dyDescent="0.25">
      <c r="A257" t="s">
        <v>203</v>
      </c>
      <c r="B257" s="1">
        <v>22</v>
      </c>
    </row>
    <row r="258" spans="1:2" x14ac:dyDescent="0.25">
      <c r="A258" t="s">
        <v>204</v>
      </c>
      <c r="B258" s="1">
        <v>23</v>
      </c>
    </row>
    <row r="259" spans="1:2" x14ac:dyDescent="0.25">
      <c r="A259" t="s">
        <v>205</v>
      </c>
      <c r="B259" s="1">
        <v>24</v>
      </c>
    </row>
    <row r="260" spans="1:2" x14ac:dyDescent="0.25">
      <c r="A260" t="s">
        <v>206</v>
      </c>
      <c r="B260" s="1">
        <v>25</v>
      </c>
    </row>
    <row r="261" spans="1:2" x14ac:dyDescent="0.25">
      <c r="A261" t="s">
        <v>207</v>
      </c>
      <c r="B261" s="1">
        <v>26</v>
      </c>
    </row>
    <row r="262" spans="1:2" x14ac:dyDescent="0.25">
      <c r="A262" t="s">
        <v>208</v>
      </c>
      <c r="B262" s="1">
        <v>27</v>
      </c>
    </row>
    <row r="263" spans="1:2" x14ac:dyDescent="0.25">
      <c r="A263" t="s">
        <v>209</v>
      </c>
      <c r="B263" s="1">
        <v>28</v>
      </c>
    </row>
    <row r="264" spans="1:2" x14ac:dyDescent="0.25">
      <c r="A264" t="s">
        <v>210</v>
      </c>
      <c r="B264" s="1">
        <v>29</v>
      </c>
    </row>
    <row r="265" spans="1:2" x14ac:dyDescent="0.25">
      <c r="A265" t="s">
        <v>211</v>
      </c>
      <c r="B265" s="1">
        <v>30</v>
      </c>
    </row>
    <row r="266" spans="1:2" x14ac:dyDescent="0.25">
      <c r="A266" t="s">
        <v>212</v>
      </c>
      <c r="B266" s="1">
        <v>31</v>
      </c>
    </row>
    <row r="267" spans="1:2" x14ac:dyDescent="0.25">
      <c r="A267" t="s">
        <v>213</v>
      </c>
      <c r="B267" s="1">
        <v>32</v>
      </c>
    </row>
    <row r="268" spans="1:2" x14ac:dyDescent="0.25">
      <c r="A268" t="s">
        <v>214</v>
      </c>
      <c r="B268" s="1">
        <v>33</v>
      </c>
    </row>
    <row r="269" spans="1:2" x14ac:dyDescent="0.25">
      <c r="A269" t="s">
        <v>215</v>
      </c>
      <c r="B269" s="1">
        <v>34</v>
      </c>
    </row>
    <row r="270" spans="1:2" x14ac:dyDescent="0.25">
      <c r="A270" t="s">
        <v>216</v>
      </c>
      <c r="B270" s="1">
        <v>35</v>
      </c>
    </row>
    <row r="271" spans="1:2" x14ac:dyDescent="0.25">
      <c r="A271" t="s">
        <v>217</v>
      </c>
      <c r="B271" s="1">
        <v>36</v>
      </c>
    </row>
    <row r="272" spans="1:2" x14ac:dyDescent="0.25">
      <c r="A272" t="s">
        <v>1001</v>
      </c>
      <c r="B272" s="1">
        <v>37</v>
      </c>
    </row>
    <row r="273" spans="1:2" x14ac:dyDescent="0.25">
      <c r="A273" t="s">
        <v>1002</v>
      </c>
      <c r="B273" s="1">
        <v>38</v>
      </c>
    </row>
    <row r="274" spans="1:2" x14ac:dyDescent="0.25">
      <c r="A274" t="s">
        <v>1003</v>
      </c>
      <c r="B274" s="1">
        <v>39</v>
      </c>
    </row>
    <row r="275" spans="1:2" x14ac:dyDescent="0.25">
      <c r="A275" t="s">
        <v>1004</v>
      </c>
      <c r="B275" s="1">
        <v>40</v>
      </c>
    </row>
    <row r="276" spans="1:2" x14ac:dyDescent="0.25">
      <c r="A276" t="s">
        <v>1005</v>
      </c>
      <c r="B276" s="1">
        <v>41</v>
      </c>
    </row>
    <row r="277" spans="1:2" x14ac:dyDescent="0.25">
      <c r="A277" t="s">
        <v>1006</v>
      </c>
      <c r="B277" s="1">
        <v>42</v>
      </c>
    </row>
    <row r="278" spans="1:2" x14ac:dyDescent="0.25">
      <c r="A278" t="s">
        <v>218</v>
      </c>
      <c r="B278" s="1">
        <v>43</v>
      </c>
    </row>
    <row r="279" spans="1:2" x14ac:dyDescent="0.25">
      <c r="A279" t="s">
        <v>219</v>
      </c>
      <c r="B279" s="1">
        <v>44</v>
      </c>
    </row>
    <row r="280" spans="1:2" x14ac:dyDescent="0.25">
      <c r="A280" t="s">
        <v>220</v>
      </c>
      <c r="B280" s="1">
        <v>45</v>
      </c>
    </row>
    <row r="281" spans="1:2" x14ac:dyDescent="0.25">
      <c r="A281" t="s">
        <v>221</v>
      </c>
      <c r="B281" s="1">
        <v>47</v>
      </c>
    </row>
    <row r="282" spans="1:2" x14ac:dyDescent="0.25">
      <c r="A282" t="s">
        <v>713</v>
      </c>
      <c r="B282" s="1">
        <v>48</v>
      </c>
    </row>
    <row r="283" spans="1:2" x14ac:dyDescent="0.25">
      <c r="A283" t="s">
        <v>714</v>
      </c>
      <c r="B283" s="1">
        <v>49</v>
      </c>
    </row>
    <row r="284" spans="1:2" x14ac:dyDescent="0.25">
      <c r="A284" t="s">
        <v>715</v>
      </c>
      <c r="B284" s="1">
        <v>50</v>
      </c>
    </row>
    <row r="285" spans="1:2" x14ac:dyDescent="0.25">
      <c r="A285" t="s">
        <v>716</v>
      </c>
      <c r="B285" s="1">
        <v>51</v>
      </c>
    </row>
    <row r="286" spans="1:2" x14ac:dyDescent="0.25">
      <c r="A286" t="s">
        <v>222</v>
      </c>
      <c r="B286" s="1">
        <v>52</v>
      </c>
    </row>
    <row r="287" spans="1:2" x14ac:dyDescent="0.25">
      <c r="A287" t="s">
        <v>223</v>
      </c>
      <c r="B287" s="1">
        <v>53</v>
      </c>
    </row>
    <row r="288" spans="1:2" x14ac:dyDescent="0.25">
      <c r="A288" t="s">
        <v>224</v>
      </c>
      <c r="B288" s="1">
        <v>54</v>
      </c>
    </row>
    <row r="289" spans="1:2" x14ac:dyDescent="0.25">
      <c r="A289" t="s">
        <v>225</v>
      </c>
      <c r="B289" s="1">
        <v>55</v>
      </c>
    </row>
    <row r="290" spans="1:2" x14ac:dyDescent="0.25">
      <c r="A290" t="s">
        <v>226</v>
      </c>
      <c r="B290" s="1">
        <v>56</v>
      </c>
    </row>
    <row r="291" spans="1:2" x14ac:dyDescent="0.25">
      <c r="A291" t="s">
        <v>227</v>
      </c>
      <c r="B291" s="1">
        <v>57</v>
      </c>
    </row>
    <row r="292" spans="1:2" x14ac:dyDescent="0.25">
      <c r="A292" t="s">
        <v>228</v>
      </c>
      <c r="B292" s="1">
        <v>58</v>
      </c>
    </row>
    <row r="293" spans="1:2" x14ac:dyDescent="0.25">
      <c r="A293" t="s">
        <v>229</v>
      </c>
      <c r="B293" s="1">
        <v>59</v>
      </c>
    </row>
    <row r="294" spans="1:2" x14ac:dyDescent="0.25">
      <c r="A294" t="s">
        <v>230</v>
      </c>
      <c r="B294" s="1">
        <v>60</v>
      </c>
    </row>
    <row r="295" spans="1:2" x14ac:dyDescent="0.25">
      <c r="A295" t="s">
        <v>231</v>
      </c>
      <c r="B295" s="1">
        <v>61</v>
      </c>
    </row>
    <row r="296" spans="1:2" x14ac:dyDescent="0.25">
      <c r="A296" t="s">
        <v>232</v>
      </c>
      <c r="B296" s="1">
        <v>62</v>
      </c>
    </row>
    <row r="297" spans="1:2" x14ac:dyDescent="0.25">
      <c r="A297" t="s">
        <v>233</v>
      </c>
      <c r="B297" s="1">
        <v>63</v>
      </c>
    </row>
    <row r="298" spans="1:2" x14ac:dyDescent="0.25">
      <c r="A298" t="s">
        <v>234</v>
      </c>
      <c r="B298" s="1">
        <v>64</v>
      </c>
    </row>
    <row r="299" spans="1:2" x14ac:dyDescent="0.25">
      <c r="A299" t="s">
        <v>235</v>
      </c>
      <c r="B299" s="1">
        <v>65</v>
      </c>
    </row>
    <row r="300" spans="1:2" x14ac:dyDescent="0.25">
      <c r="A300" t="s">
        <v>236</v>
      </c>
      <c r="B300" s="1">
        <v>66</v>
      </c>
    </row>
    <row r="301" spans="1:2" x14ac:dyDescent="0.25">
      <c r="A301" t="s">
        <v>237</v>
      </c>
      <c r="B301" s="1">
        <v>67</v>
      </c>
    </row>
    <row r="302" spans="1:2" x14ac:dyDescent="0.25">
      <c r="A302" t="s">
        <v>238</v>
      </c>
      <c r="B302" s="1">
        <v>68</v>
      </c>
    </row>
    <row r="303" spans="1:2" x14ac:dyDescent="0.25">
      <c r="A303" t="s">
        <v>239</v>
      </c>
      <c r="B303" s="1">
        <v>69</v>
      </c>
    </row>
    <row r="304" spans="1:2" x14ac:dyDescent="0.25">
      <c r="A304" t="s">
        <v>240</v>
      </c>
      <c r="B304" s="1">
        <v>70</v>
      </c>
    </row>
    <row r="305" spans="1:2" x14ac:dyDescent="0.25">
      <c r="A305" t="s">
        <v>241</v>
      </c>
      <c r="B305" s="1">
        <v>71</v>
      </c>
    </row>
    <row r="306" spans="1:2" x14ac:dyDescent="0.25">
      <c r="A306" t="s">
        <v>1007</v>
      </c>
      <c r="B306" s="1">
        <v>72</v>
      </c>
    </row>
    <row r="307" spans="1:2" x14ac:dyDescent="0.25">
      <c r="A307" t="s">
        <v>1008</v>
      </c>
      <c r="B307" s="1">
        <v>73</v>
      </c>
    </row>
    <row r="308" spans="1:2" x14ac:dyDescent="0.25">
      <c r="A308" t="s">
        <v>1009</v>
      </c>
      <c r="B308" s="1">
        <v>74</v>
      </c>
    </row>
    <row r="309" spans="1:2" x14ac:dyDescent="0.25">
      <c r="A309" t="s">
        <v>1010</v>
      </c>
      <c r="B309" s="1">
        <v>75</v>
      </c>
    </row>
    <row r="310" spans="1:2" x14ac:dyDescent="0.25">
      <c r="A310" t="s">
        <v>1011</v>
      </c>
      <c r="B310" s="1">
        <v>76</v>
      </c>
    </row>
    <row r="311" spans="1:2" x14ac:dyDescent="0.25">
      <c r="A311" t="s">
        <v>1012</v>
      </c>
      <c r="B311" s="1">
        <v>77</v>
      </c>
    </row>
    <row r="312" spans="1:2" x14ac:dyDescent="0.25">
      <c r="A312" t="s">
        <v>242</v>
      </c>
      <c r="B312" s="1">
        <v>78</v>
      </c>
    </row>
    <row r="313" spans="1:2" x14ac:dyDescent="0.25">
      <c r="A313" t="s">
        <v>243</v>
      </c>
      <c r="B313" s="1">
        <v>79</v>
      </c>
    </row>
    <row r="314" spans="1:2" x14ac:dyDescent="0.25">
      <c r="A314" t="s">
        <v>244</v>
      </c>
      <c r="B314" s="1">
        <v>80</v>
      </c>
    </row>
    <row r="315" spans="1:2" x14ac:dyDescent="0.25">
      <c r="A315" t="s">
        <v>1013</v>
      </c>
      <c r="B315" s="1">
        <v>82</v>
      </c>
    </row>
    <row r="316" spans="1:2" x14ac:dyDescent="0.25">
      <c r="A316" t="s">
        <v>1014</v>
      </c>
      <c r="B316" s="1">
        <v>83</v>
      </c>
    </row>
    <row r="317" spans="1:2" x14ac:dyDescent="0.25">
      <c r="A317" t="s">
        <v>1015</v>
      </c>
      <c r="B317" s="1">
        <v>84</v>
      </c>
    </row>
    <row r="318" spans="1:2" x14ac:dyDescent="0.25">
      <c r="A318" t="s">
        <v>1016</v>
      </c>
      <c r="B318" s="1">
        <v>85</v>
      </c>
    </row>
    <row r="319" spans="1:2" x14ac:dyDescent="0.25">
      <c r="A319" t="s">
        <v>1017</v>
      </c>
      <c r="B319" s="1">
        <v>86</v>
      </c>
    </row>
    <row r="320" spans="1:2" x14ac:dyDescent="0.25">
      <c r="A320" t="s">
        <v>1018</v>
      </c>
      <c r="B320" s="1">
        <v>87</v>
      </c>
    </row>
    <row r="321" spans="1:2" x14ac:dyDescent="0.25">
      <c r="A321" t="s">
        <v>1019</v>
      </c>
      <c r="B321" s="1">
        <v>88</v>
      </c>
    </row>
    <row r="322" spans="1:2" x14ac:dyDescent="0.25">
      <c r="A322" t="s">
        <v>1020</v>
      </c>
      <c r="B322" s="1">
        <v>89</v>
      </c>
    </row>
    <row r="323" spans="1:2" x14ac:dyDescent="0.25">
      <c r="A323" t="s">
        <v>245</v>
      </c>
      <c r="B323" s="1">
        <v>90</v>
      </c>
    </row>
    <row r="324" spans="1:2" x14ac:dyDescent="0.25">
      <c r="A324" t="s">
        <v>246</v>
      </c>
      <c r="B324" s="1">
        <v>91</v>
      </c>
    </row>
    <row r="325" spans="1:2" x14ac:dyDescent="0.25">
      <c r="A325" t="s">
        <v>279</v>
      </c>
      <c r="B325" s="1">
        <v>92</v>
      </c>
    </row>
    <row r="326" spans="1:2" x14ac:dyDescent="0.25">
      <c r="A326" t="s">
        <v>280</v>
      </c>
      <c r="B326" s="1">
        <v>93</v>
      </c>
    </row>
    <row r="327" spans="1:2" x14ac:dyDescent="0.25">
      <c r="A327" t="s">
        <v>247</v>
      </c>
      <c r="B327" s="1">
        <v>95</v>
      </c>
    </row>
    <row r="328" spans="1:2" x14ac:dyDescent="0.25">
      <c r="A328" t="s">
        <v>248</v>
      </c>
      <c r="B328" s="1">
        <v>96</v>
      </c>
    </row>
    <row r="329" spans="1:2" x14ac:dyDescent="0.25">
      <c r="A329" t="s">
        <v>249</v>
      </c>
      <c r="B329" s="1">
        <v>97</v>
      </c>
    </row>
    <row r="330" spans="1:2" x14ac:dyDescent="0.25">
      <c r="A330" t="s">
        <v>250</v>
      </c>
      <c r="B330" s="1">
        <v>98</v>
      </c>
    </row>
    <row r="331" spans="1:2" x14ac:dyDescent="0.25">
      <c r="A331" t="s">
        <v>251</v>
      </c>
      <c r="B331" s="1">
        <v>100</v>
      </c>
    </row>
    <row r="332" spans="1:2" x14ac:dyDescent="0.25">
      <c r="A332" t="s">
        <v>252</v>
      </c>
      <c r="B332" s="1">
        <v>101</v>
      </c>
    </row>
    <row r="333" spans="1:2" x14ac:dyDescent="0.25">
      <c r="A333" t="s">
        <v>253</v>
      </c>
      <c r="B333" s="1">
        <v>102</v>
      </c>
    </row>
    <row r="334" spans="1:2" x14ac:dyDescent="0.25">
      <c r="A334" t="s">
        <v>254</v>
      </c>
      <c r="B334" s="1">
        <v>103</v>
      </c>
    </row>
    <row r="335" spans="1:2" x14ac:dyDescent="0.25">
      <c r="A335" t="s">
        <v>255</v>
      </c>
      <c r="B335" s="1">
        <v>105</v>
      </c>
    </row>
    <row r="336" spans="1:2" x14ac:dyDescent="0.25">
      <c r="A336" t="s">
        <v>256</v>
      </c>
      <c r="B336" s="1">
        <v>106</v>
      </c>
    </row>
    <row r="337" spans="1:2" x14ac:dyDescent="0.25">
      <c r="A337" t="s">
        <v>257</v>
      </c>
      <c r="B337" s="1">
        <v>107</v>
      </c>
    </row>
    <row r="338" spans="1:2" x14ac:dyDescent="0.25">
      <c r="A338" t="s">
        <v>258</v>
      </c>
      <c r="B338" s="1">
        <v>108</v>
      </c>
    </row>
    <row r="339" spans="1:2" x14ac:dyDescent="0.25">
      <c r="A339" t="s">
        <v>259</v>
      </c>
      <c r="B339" s="1">
        <v>110</v>
      </c>
    </row>
    <row r="340" spans="1:2" x14ac:dyDescent="0.25">
      <c r="A340" t="s">
        <v>260</v>
      </c>
      <c r="B340" s="1">
        <v>111</v>
      </c>
    </row>
    <row r="341" spans="1:2" x14ac:dyDescent="0.25">
      <c r="A341" t="s">
        <v>261</v>
      </c>
      <c r="B341" s="1">
        <v>112</v>
      </c>
    </row>
    <row r="342" spans="1:2" x14ac:dyDescent="0.25">
      <c r="A342" t="s">
        <v>262</v>
      </c>
      <c r="B342" s="1">
        <v>113</v>
      </c>
    </row>
    <row r="343" spans="1:2" x14ac:dyDescent="0.25">
      <c r="A343" t="s">
        <v>263</v>
      </c>
      <c r="B343" s="2" t="s">
        <v>1021</v>
      </c>
    </row>
    <row r="344" spans="1:2" x14ac:dyDescent="0.25">
      <c r="A344" t="s">
        <v>264</v>
      </c>
      <c r="B344" s="2" t="s">
        <v>1022</v>
      </c>
    </row>
    <row r="345" spans="1:2" x14ac:dyDescent="0.25">
      <c r="A345" t="s">
        <v>595</v>
      </c>
      <c r="B345" s="2" t="s">
        <v>1023</v>
      </c>
    </row>
    <row r="346" spans="1:2" x14ac:dyDescent="0.25">
      <c r="A346" t="s">
        <v>596</v>
      </c>
      <c r="B346" s="2" t="s">
        <v>1024</v>
      </c>
    </row>
    <row r="347" spans="1:2" x14ac:dyDescent="0.25">
      <c r="A347" t="s">
        <v>597</v>
      </c>
      <c r="B347" s="2" t="s">
        <v>1025</v>
      </c>
    </row>
    <row r="348" spans="1:2" x14ac:dyDescent="0.25">
      <c r="A348" t="s">
        <v>598</v>
      </c>
      <c r="B348" s="2" t="s">
        <v>1026</v>
      </c>
    </row>
    <row r="349" spans="1:2" x14ac:dyDescent="0.25">
      <c r="A349" t="s">
        <v>599</v>
      </c>
      <c r="B349" s="2" t="s">
        <v>1027</v>
      </c>
    </row>
    <row r="350" spans="1:2" x14ac:dyDescent="0.25">
      <c r="A350" s="4" t="s">
        <v>600</v>
      </c>
      <c r="B350" s="2" t="s">
        <v>1028</v>
      </c>
    </row>
    <row r="351" spans="1:2" x14ac:dyDescent="0.25">
      <c r="A351" t="s">
        <v>621</v>
      </c>
      <c r="B351" s="2" t="s">
        <v>1029</v>
      </c>
    </row>
    <row r="352" spans="1:2" x14ac:dyDescent="0.25">
      <c r="A352" t="s">
        <v>622</v>
      </c>
      <c r="B352" s="2" t="s">
        <v>1030</v>
      </c>
    </row>
    <row r="353" spans="1:2" x14ac:dyDescent="0.25">
      <c r="A353" t="s">
        <v>623</v>
      </c>
      <c r="B353" s="2" t="s">
        <v>1031</v>
      </c>
    </row>
    <row r="354" spans="1:2" x14ac:dyDescent="0.25">
      <c r="A354" t="s">
        <v>624</v>
      </c>
      <c r="B354" s="2" t="s">
        <v>1032</v>
      </c>
    </row>
    <row r="355" spans="1:2" x14ac:dyDescent="0.25">
      <c r="A355" t="s">
        <v>625</v>
      </c>
      <c r="B355" s="2" t="s">
        <v>1033</v>
      </c>
    </row>
    <row r="356" spans="1:2" x14ac:dyDescent="0.25">
      <c r="A356" s="4" t="s">
        <v>626</v>
      </c>
      <c r="B356" s="2" t="s">
        <v>1034</v>
      </c>
    </row>
    <row r="357" spans="1:2" x14ac:dyDescent="0.25">
      <c r="A357" s="5" t="s">
        <v>627</v>
      </c>
      <c r="B357" s="2" t="s">
        <v>1035</v>
      </c>
    </row>
    <row r="358" spans="1:2" x14ac:dyDescent="0.25">
      <c r="A358" t="s">
        <v>1166</v>
      </c>
      <c r="B358" s="2" t="s">
        <v>1036</v>
      </c>
    </row>
    <row r="359" spans="1:2" x14ac:dyDescent="0.25">
      <c r="A359" t="s">
        <v>1167</v>
      </c>
      <c r="B359" s="2" t="s">
        <v>1037</v>
      </c>
    </row>
    <row r="360" spans="1:2" x14ac:dyDescent="0.25">
      <c r="A360" t="s">
        <v>1168</v>
      </c>
      <c r="B360" s="2" t="s">
        <v>1038</v>
      </c>
    </row>
    <row r="361" spans="1:2" x14ac:dyDescent="0.25">
      <c r="A361" t="s">
        <v>1169</v>
      </c>
      <c r="B361" s="2" t="s">
        <v>1039</v>
      </c>
    </row>
    <row r="362" spans="1:2" x14ac:dyDescent="0.25">
      <c r="A362" t="s">
        <v>1170</v>
      </c>
      <c r="B362" s="2" t="s">
        <v>1040</v>
      </c>
    </row>
    <row r="363" spans="1:2" x14ac:dyDescent="0.25">
      <c r="A363" t="s">
        <v>1171</v>
      </c>
      <c r="B363" s="2" t="s">
        <v>1041</v>
      </c>
    </row>
    <row r="364" spans="1:2" x14ac:dyDescent="0.25">
      <c r="A364" t="s">
        <v>1172</v>
      </c>
      <c r="B364" s="2" t="s">
        <v>1042</v>
      </c>
    </row>
    <row r="365" spans="1:2" x14ac:dyDescent="0.25">
      <c r="A365" t="s">
        <v>1173</v>
      </c>
      <c r="B365" s="2" t="s">
        <v>1043</v>
      </c>
    </row>
    <row r="366" spans="1:2" x14ac:dyDescent="0.25">
      <c r="A366" t="s">
        <v>1174</v>
      </c>
      <c r="B366" s="2" t="s">
        <v>1044</v>
      </c>
    </row>
    <row r="367" spans="1:2" x14ac:dyDescent="0.25">
      <c r="A367" s="4" t="s">
        <v>1175</v>
      </c>
      <c r="B367" s="2" t="s">
        <v>1045</v>
      </c>
    </row>
    <row r="368" spans="1:2" x14ac:dyDescent="0.25">
      <c r="A368" s="5" t="s">
        <v>1176</v>
      </c>
      <c r="B368" s="2" t="s">
        <v>1046</v>
      </c>
    </row>
    <row r="369" spans="1:2" x14ac:dyDescent="0.25">
      <c r="A369" s="5" t="s">
        <v>1177</v>
      </c>
      <c r="B369" s="2" t="s">
        <v>1047</v>
      </c>
    </row>
    <row r="370" spans="1:2" x14ac:dyDescent="0.25">
      <c r="A370" s="5" t="s">
        <v>1178</v>
      </c>
      <c r="B370" s="2" t="s">
        <v>1048</v>
      </c>
    </row>
    <row r="371" spans="1:2" x14ac:dyDescent="0.25">
      <c r="A371" s="5" t="s">
        <v>1179</v>
      </c>
      <c r="B371" s="2" t="s">
        <v>1180</v>
      </c>
    </row>
    <row r="372" spans="1:2" x14ac:dyDescent="0.25">
      <c r="A372" t="s">
        <v>916</v>
      </c>
      <c r="B372" s="2" t="s">
        <v>1181</v>
      </c>
    </row>
    <row r="373" spans="1:2" x14ac:dyDescent="0.25">
      <c r="A373" t="s">
        <v>917</v>
      </c>
      <c r="B373" s="2" t="s">
        <v>1182</v>
      </c>
    </row>
    <row r="374" spans="1:2" x14ac:dyDescent="0.25">
      <c r="A374" t="s">
        <v>918</v>
      </c>
      <c r="B374" s="2" t="s">
        <v>1183</v>
      </c>
    </row>
    <row r="375" spans="1:2" x14ac:dyDescent="0.25">
      <c r="A375" t="s">
        <v>919</v>
      </c>
      <c r="B375" s="2" t="s">
        <v>1184</v>
      </c>
    </row>
    <row r="376" spans="1:2" x14ac:dyDescent="0.25">
      <c r="A376" t="s">
        <v>274</v>
      </c>
      <c r="B376" s="2" t="s">
        <v>1185</v>
      </c>
    </row>
    <row r="377" spans="1:2" x14ac:dyDescent="0.25">
      <c r="A377" t="s">
        <v>273</v>
      </c>
      <c r="B377" s="2" t="s">
        <v>1186</v>
      </c>
    </row>
    <row r="378" spans="1:2" x14ac:dyDescent="0.25">
      <c r="A378" t="s">
        <v>272</v>
      </c>
      <c r="B378" s="2" t="s">
        <v>1187</v>
      </c>
    </row>
    <row r="379" spans="1:2" x14ac:dyDescent="0.25">
      <c r="A379" t="s">
        <v>540</v>
      </c>
      <c r="B379" s="2" t="s">
        <v>1188</v>
      </c>
    </row>
    <row r="380" spans="1:2" x14ac:dyDescent="0.25">
      <c r="A380" t="s">
        <v>548</v>
      </c>
      <c r="B380" s="2" t="s">
        <v>1189</v>
      </c>
    </row>
    <row r="381" spans="1:2" x14ac:dyDescent="0.25">
      <c r="A381" s="4" t="s">
        <v>549</v>
      </c>
      <c r="B381" s="2" t="s">
        <v>1190</v>
      </c>
    </row>
    <row r="382" spans="1:2" x14ac:dyDescent="0.25">
      <c r="A382" s="5" t="s">
        <v>550</v>
      </c>
      <c r="B382" s="2" t="s">
        <v>1191</v>
      </c>
    </row>
    <row r="383" spans="1:2" x14ac:dyDescent="0.25">
      <c r="A383" s="5" t="s">
        <v>551</v>
      </c>
      <c r="B383" s="2" t="s">
        <v>1192</v>
      </c>
    </row>
    <row r="384" spans="1:2" x14ac:dyDescent="0.25">
      <c r="A384" s="5" t="s">
        <v>552</v>
      </c>
      <c r="B384" s="2" t="s">
        <v>1193</v>
      </c>
    </row>
    <row r="385" spans="1:2" x14ac:dyDescent="0.25">
      <c r="A385" t="s">
        <v>99</v>
      </c>
      <c r="B385" s="1">
        <v>1</v>
      </c>
    </row>
    <row r="386" spans="1:2" x14ac:dyDescent="0.25">
      <c r="A386" t="s">
        <v>100</v>
      </c>
      <c r="B386" s="1">
        <v>2</v>
      </c>
    </row>
    <row r="387" spans="1:2" x14ac:dyDescent="0.25">
      <c r="A387" t="s">
        <v>101</v>
      </c>
      <c r="B387" s="1">
        <v>3</v>
      </c>
    </row>
    <row r="388" spans="1:2" x14ac:dyDescent="0.25">
      <c r="A388" t="s">
        <v>102</v>
      </c>
      <c r="B388" s="1">
        <v>4</v>
      </c>
    </row>
    <row r="389" spans="1:2" x14ac:dyDescent="0.25">
      <c r="A389" t="s">
        <v>718</v>
      </c>
      <c r="B389" s="1">
        <v>5</v>
      </c>
    </row>
    <row r="390" spans="1:2" x14ac:dyDescent="0.25">
      <c r="A390" t="s">
        <v>906</v>
      </c>
      <c r="B390" s="1">
        <v>6</v>
      </c>
    </row>
    <row r="391" spans="1:2" x14ac:dyDescent="0.25">
      <c r="A391" t="s">
        <v>907</v>
      </c>
      <c r="B391" s="1">
        <v>7</v>
      </c>
    </row>
    <row r="392" spans="1:2" x14ac:dyDescent="0.25">
      <c r="A392" t="s">
        <v>103</v>
      </c>
      <c r="B392" s="1">
        <v>8</v>
      </c>
    </row>
    <row r="393" spans="1:2" x14ac:dyDescent="0.25">
      <c r="A393" t="s">
        <v>104</v>
      </c>
      <c r="B393" s="1">
        <v>9</v>
      </c>
    </row>
    <row r="394" spans="1:2" x14ac:dyDescent="0.25">
      <c r="A394" t="s">
        <v>105</v>
      </c>
      <c r="B394" s="1">
        <v>11</v>
      </c>
    </row>
    <row r="395" spans="1:2" x14ac:dyDescent="0.25">
      <c r="A395" t="s">
        <v>719</v>
      </c>
      <c r="B395" s="1">
        <v>12</v>
      </c>
    </row>
    <row r="396" spans="1:2" x14ac:dyDescent="0.25">
      <c r="A396" t="s">
        <v>720</v>
      </c>
      <c r="B396" s="1">
        <v>13</v>
      </c>
    </row>
    <row r="397" spans="1:2" x14ac:dyDescent="0.25">
      <c r="A397" t="s">
        <v>721</v>
      </c>
      <c r="B397" s="1">
        <v>14</v>
      </c>
    </row>
    <row r="398" spans="1:2" x14ac:dyDescent="0.25">
      <c r="A398" t="s">
        <v>722</v>
      </c>
      <c r="B398" s="1">
        <v>15</v>
      </c>
    </row>
    <row r="399" spans="1:2" x14ac:dyDescent="0.25">
      <c r="A399" t="s">
        <v>106</v>
      </c>
      <c r="B399" s="1">
        <v>16</v>
      </c>
    </row>
    <row r="400" spans="1:2" x14ac:dyDescent="0.25">
      <c r="A400" t="s">
        <v>107</v>
      </c>
      <c r="B400" s="1">
        <v>17</v>
      </c>
    </row>
    <row r="401" spans="1:2" x14ac:dyDescent="0.25">
      <c r="A401" t="s">
        <v>108</v>
      </c>
      <c r="B401" s="1">
        <v>18</v>
      </c>
    </row>
    <row r="402" spans="1:2" x14ac:dyDescent="0.25">
      <c r="A402" t="s">
        <v>109</v>
      </c>
      <c r="B402" s="1">
        <v>19</v>
      </c>
    </row>
    <row r="403" spans="1:2" x14ac:dyDescent="0.25">
      <c r="A403" t="s">
        <v>110</v>
      </c>
      <c r="B403" s="1">
        <v>20</v>
      </c>
    </row>
    <row r="404" spans="1:2" x14ac:dyDescent="0.25">
      <c r="A404" t="s">
        <v>111</v>
      </c>
      <c r="B404" s="1">
        <v>21</v>
      </c>
    </row>
    <row r="405" spans="1:2" x14ac:dyDescent="0.25">
      <c r="A405" t="s">
        <v>112</v>
      </c>
      <c r="B405" s="1">
        <v>22</v>
      </c>
    </row>
    <row r="406" spans="1:2" x14ac:dyDescent="0.25">
      <c r="A406" t="s">
        <v>113</v>
      </c>
      <c r="B406" s="1">
        <v>23</v>
      </c>
    </row>
    <row r="407" spans="1:2" x14ac:dyDescent="0.25">
      <c r="A407" t="s">
        <v>114</v>
      </c>
      <c r="B407" s="1">
        <v>24</v>
      </c>
    </row>
    <row r="408" spans="1:2" x14ac:dyDescent="0.25">
      <c r="A408" t="s">
        <v>115</v>
      </c>
      <c r="B408" s="1">
        <v>25</v>
      </c>
    </row>
    <row r="409" spans="1:2" x14ac:dyDescent="0.25">
      <c r="A409" t="s">
        <v>116</v>
      </c>
      <c r="B409" s="1">
        <v>26</v>
      </c>
    </row>
    <row r="410" spans="1:2" x14ac:dyDescent="0.25">
      <c r="A410" t="s">
        <v>117</v>
      </c>
      <c r="B410" s="1">
        <v>27</v>
      </c>
    </row>
    <row r="411" spans="1:2" x14ac:dyDescent="0.25">
      <c r="A411" t="s">
        <v>1049</v>
      </c>
      <c r="B411" s="1">
        <v>28</v>
      </c>
    </row>
    <row r="412" spans="1:2" x14ac:dyDescent="0.25">
      <c r="A412" t="s">
        <v>1050</v>
      </c>
      <c r="B412" s="1">
        <v>29</v>
      </c>
    </row>
    <row r="413" spans="1:2" x14ac:dyDescent="0.25">
      <c r="A413" t="s">
        <v>1051</v>
      </c>
      <c r="B413" s="1">
        <v>30</v>
      </c>
    </row>
    <row r="414" spans="1:2" x14ac:dyDescent="0.25">
      <c r="A414" t="s">
        <v>1052</v>
      </c>
      <c r="B414" s="1">
        <v>31</v>
      </c>
    </row>
    <row r="415" spans="1:2" x14ac:dyDescent="0.25">
      <c r="A415" t="s">
        <v>1053</v>
      </c>
      <c r="B415" s="1">
        <v>32</v>
      </c>
    </row>
    <row r="416" spans="1:2" x14ac:dyDescent="0.25">
      <c r="A416" t="s">
        <v>1054</v>
      </c>
      <c r="B416" s="1">
        <v>33</v>
      </c>
    </row>
    <row r="417" spans="1:2" x14ac:dyDescent="0.25">
      <c r="A417" t="s">
        <v>118</v>
      </c>
      <c r="B417" s="1">
        <v>34</v>
      </c>
    </row>
    <row r="418" spans="1:2" x14ac:dyDescent="0.25">
      <c r="A418" t="s">
        <v>119</v>
      </c>
      <c r="B418" s="1">
        <v>35</v>
      </c>
    </row>
    <row r="419" spans="1:2" x14ac:dyDescent="0.25">
      <c r="A419" t="s">
        <v>120</v>
      </c>
      <c r="B419" s="1">
        <v>36</v>
      </c>
    </row>
    <row r="420" spans="1:2" x14ac:dyDescent="0.25">
      <c r="A420" t="s">
        <v>121</v>
      </c>
      <c r="B420" s="1">
        <v>38</v>
      </c>
    </row>
    <row r="421" spans="1:2" x14ac:dyDescent="0.25">
      <c r="A421" t="s">
        <v>723</v>
      </c>
      <c r="B421" s="1">
        <v>39</v>
      </c>
    </row>
    <row r="422" spans="1:2" x14ac:dyDescent="0.25">
      <c r="A422" t="s">
        <v>724</v>
      </c>
      <c r="B422" s="1">
        <v>40</v>
      </c>
    </row>
    <row r="423" spans="1:2" x14ac:dyDescent="0.25">
      <c r="A423" t="s">
        <v>725</v>
      </c>
      <c r="B423" s="1">
        <v>41</v>
      </c>
    </row>
    <row r="424" spans="1:2" x14ac:dyDescent="0.25">
      <c r="A424" t="s">
        <v>726</v>
      </c>
      <c r="B424" s="1">
        <v>42</v>
      </c>
    </row>
    <row r="425" spans="1:2" x14ac:dyDescent="0.25">
      <c r="A425" t="s">
        <v>122</v>
      </c>
      <c r="B425" s="1">
        <v>43</v>
      </c>
    </row>
    <row r="426" spans="1:2" x14ac:dyDescent="0.25">
      <c r="A426" t="s">
        <v>123</v>
      </c>
      <c r="B426" s="1">
        <v>44</v>
      </c>
    </row>
    <row r="427" spans="1:2" x14ac:dyDescent="0.25">
      <c r="A427" t="s">
        <v>124</v>
      </c>
      <c r="B427" s="1">
        <v>45</v>
      </c>
    </row>
    <row r="428" spans="1:2" x14ac:dyDescent="0.25">
      <c r="A428" t="s">
        <v>125</v>
      </c>
      <c r="B428" s="1">
        <v>46</v>
      </c>
    </row>
    <row r="429" spans="1:2" x14ac:dyDescent="0.25">
      <c r="A429" t="s">
        <v>126</v>
      </c>
      <c r="B429" s="1">
        <v>47</v>
      </c>
    </row>
    <row r="430" spans="1:2" x14ac:dyDescent="0.25">
      <c r="A430" t="s">
        <v>127</v>
      </c>
      <c r="B430" s="1">
        <v>48</v>
      </c>
    </row>
    <row r="431" spans="1:2" x14ac:dyDescent="0.25">
      <c r="A431" t="s">
        <v>128</v>
      </c>
      <c r="B431" s="1">
        <v>49</v>
      </c>
    </row>
    <row r="432" spans="1:2" x14ac:dyDescent="0.25">
      <c r="A432" t="s">
        <v>129</v>
      </c>
      <c r="B432" s="1">
        <v>50</v>
      </c>
    </row>
    <row r="433" spans="1:2" x14ac:dyDescent="0.25">
      <c r="A433" t="s">
        <v>130</v>
      </c>
      <c r="B433" s="1">
        <v>51</v>
      </c>
    </row>
    <row r="434" spans="1:2" x14ac:dyDescent="0.25">
      <c r="A434" t="s">
        <v>131</v>
      </c>
      <c r="B434" s="1">
        <v>52</v>
      </c>
    </row>
    <row r="435" spans="1:2" x14ac:dyDescent="0.25">
      <c r="A435" t="s">
        <v>132</v>
      </c>
      <c r="B435" s="1">
        <v>53</v>
      </c>
    </row>
    <row r="436" spans="1:2" x14ac:dyDescent="0.25">
      <c r="A436" t="s">
        <v>133</v>
      </c>
      <c r="B436" s="1">
        <v>54</v>
      </c>
    </row>
    <row r="437" spans="1:2" x14ac:dyDescent="0.25">
      <c r="A437" t="s">
        <v>1055</v>
      </c>
      <c r="B437" s="1">
        <v>55</v>
      </c>
    </row>
    <row r="438" spans="1:2" x14ac:dyDescent="0.25">
      <c r="A438" t="s">
        <v>1056</v>
      </c>
      <c r="B438" s="1">
        <v>56</v>
      </c>
    </row>
    <row r="439" spans="1:2" x14ac:dyDescent="0.25">
      <c r="A439" t="s">
        <v>1057</v>
      </c>
      <c r="B439" s="1">
        <v>57</v>
      </c>
    </row>
    <row r="440" spans="1:2" x14ac:dyDescent="0.25">
      <c r="A440" t="s">
        <v>1058</v>
      </c>
      <c r="B440" s="1">
        <v>58</v>
      </c>
    </row>
    <row r="441" spans="1:2" x14ac:dyDescent="0.25">
      <c r="A441" t="s">
        <v>1059</v>
      </c>
      <c r="B441" s="1">
        <v>59</v>
      </c>
    </row>
    <row r="442" spans="1:2" x14ac:dyDescent="0.25">
      <c r="A442" t="s">
        <v>1060</v>
      </c>
      <c r="B442" s="1">
        <v>60</v>
      </c>
    </row>
    <row r="443" spans="1:2" x14ac:dyDescent="0.25">
      <c r="A443" t="s">
        <v>134</v>
      </c>
      <c r="B443" s="1">
        <v>61</v>
      </c>
    </row>
    <row r="444" spans="1:2" x14ac:dyDescent="0.25">
      <c r="A444" t="s">
        <v>135</v>
      </c>
      <c r="B444" s="1">
        <v>62</v>
      </c>
    </row>
    <row r="445" spans="1:2" x14ac:dyDescent="0.25">
      <c r="A445" t="s">
        <v>136</v>
      </c>
      <c r="B445" s="1">
        <v>63</v>
      </c>
    </row>
    <row r="446" spans="1:2" x14ac:dyDescent="0.25">
      <c r="A446" t="s">
        <v>137</v>
      </c>
      <c r="B446" s="1">
        <v>65</v>
      </c>
    </row>
    <row r="447" spans="1:2" x14ac:dyDescent="0.25">
      <c r="A447" t="s">
        <v>138</v>
      </c>
      <c r="B447" s="1">
        <v>66</v>
      </c>
    </row>
    <row r="448" spans="1:2" x14ac:dyDescent="0.25">
      <c r="A448" t="s">
        <v>139</v>
      </c>
      <c r="B448" s="1">
        <v>67</v>
      </c>
    </row>
    <row r="449" spans="1:2" x14ac:dyDescent="0.25">
      <c r="A449" t="s">
        <v>140</v>
      </c>
      <c r="B449" s="1">
        <v>68</v>
      </c>
    </row>
    <row r="450" spans="1:2" x14ac:dyDescent="0.25">
      <c r="A450" t="s">
        <v>1061</v>
      </c>
      <c r="B450" s="1">
        <v>69</v>
      </c>
    </row>
    <row r="451" spans="1:2" x14ac:dyDescent="0.25">
      <c r="A451" t="s">
        <v>1062</v>
      </c>
      <c r="B451" s="1">
        <v>70</v>
      </c>
    </row>
    <row r="452" spans="1:2" x14ac:dyDescent="0.25">
      <c r="A452" t="s">
        <v>1063</v>
      </c>
      <c r="B452" s="1">
        <v>71</v>
      </c>
    </row>
    <row r="453" spans="1:2" x14ac:dyDescent="0.25">
      <c r="A453" t="s">
        <v>1064</v>
      </c>
      <c r="B453" s="1">
        <v>72</v>
      </c>
    </row>
    <row r="454" spans="1:2" x14ac:dyDescent="0.25">
      <c r="A454" t="s">
        <v>1065</v>
      </c>
      <c r="B454" s="1">
        <v>73</v>
      </c>
    </row>
    <row r="455" spans="1:2" x14ac:dyDescent="0.25">
      <c r="A455" t="s">
        <v>1066</v>
      </c>
      <c r="B455" s="1">
        <v>74</v>
      </c>
    </row>
    <row r="456" spans="1:2" x14ac:dyDescent="0.25">
      <c r="A456" t="s">
        <v>1067</v>
      </c>
      <c r="B456" s="1">
        <v>75</v>
      </c>
    </row>
    <row r="457" spans="1:2" x14ac:dyDescent="0.25">
      <c r="A457" t="s">
        <v>1068</v>
      </c>
      <c r="B457" s="1">
        <v>76</v>
      </c>
    </row>
    <row r="458" spans="1:2" x14ac:dyDescent="0.25">
      <c r="A458" t="s">
        <v>141</v>
      </c>
      <c r="B458" s="1">
        <v>77</v>
      </c>
    </row>
    <row r="459" spans="1:2" x14ac:dyDescent="0.25">
      <c r="A459" t="s">
        <v>142</v>
      </c>
      <c r="B459" s="1">
        <v>78</v>
      </c>
    </row>
    <row r="460" spans="1:2" x14ac:dyDescent="0.25">
      <c r="A460" t="s">
        <v>277</v>
      </c>
      <c r="B460" s="1">
        <v>79</v>
      </c>
    </row>
    <row r="461" spans="1:2" x14ac:dyDescent="0.25">
      <c r="A461" t="s">
        <v>278</v>
      </c>
      <c r="B461" s="1">
        <v>80</v>
      </c>
    </row>
    <row r="462" spans="1:2" x14ac:dyDescent="0.25">
      <c r="A462" t="s">
        <v>143</v>
      </c>
      <c r="B462" s="2" t="s">
        <v>1069</v>
      </c>
    </row>
    <row r="463" spans="1:2" x14ac:dyDescent="0.25">
      <c r="A463" t="s">
        <v>144</v>
      </c>
      <c r="B463" s="2" t="s">
        <v>1070</v>
      </c>
    </row>
    <row r="464" spans="1:2" x14ac:dyDescent="0.25">
      <c r="A464" t="s">
        <v>601</v>
      </c>
      <c r="B464" s="2" t="s">
        <v>1071</v>
      </c>
    </row>
    <row r="465" spans="1:2" x14ac:dyDescent="0.25">
      <c r="A465" t="s">
        <v>602</v>
      </c>
      <c r="B465" s="2" t="s">
        <v>1072</v>
      </c>
    </row>
    <row r="466" spans="1:2" x14ac:dyDescent="0.25">
      <c r="A466" t="s">
        <v>603</v>
      </c>
      <c r="B466" s="2" t="s">
        <v>1073</v>
      </c>
    </row>
    <row r="467" spans="1:2" x14ac:dyDescent="0.25">
      <c r="A467" t="s">
        <v>604</v>
      </c>
      <c r="B467" s="2" t="s">
        <v>1074</v>
      </c>
    </row>
    <row r="468" spans="1:2" x14ac:dyDescent="0.25">
      <c r="A468" t="s">
        <v>605</v>
      </c>
      <c r="B468" s="2" t="s">
        <v>1075</v>
      </c>
    </row>
    <row r="469" spans="1:2" x14ac:dyDescent="0.25">
      <c r="A469" s="4" t="s">
        <v>606</v>
      </c>
      <c r="B469" s="2" t="s">
        <v>1076</v>
      </c>
    </row>
    <row r="470" spans="1:2" x14ac:dyDescent="0.25">
      <c r="A470" t="s">
        <v>629</v>
      </c>
      <c r="B470" s="2" t="s">
        <v>1077</v>
      </c>
    </row>
    <row r="471" spans="1:2" x14ac:dyDescent="0.25">
      <c r="A471" t="s">
        <v>628</v>
      </c>
      <c r="B471" s="2" t="s">
        <v>1078</v>
      </c>
    </row>
    <row r="472" spans="1:2" x14ac:dyDescent="0.25">
      <c r="A472" t="s">
        <v>630</v>
      </c>
      <c r="B472" s="2" t="s">
        <v>1079</v>
      </c>
    </row>
    <row r="473" spans="1:2" x14ac:dyDescent="0.25">
      <c r="A473" t="s">
        <v>631</v>
      </c>
      <c r="B473" s="2" t="s">
        <v>1080</v>
      </c>
    </row>
    <row r="474" spans="1:2" x14ac:dyDescent="0.25">
      <c r="A474" t="s">
        <v>632</v>
      </c>
      <c r="B474" s="2" t="s">
        <v>1081</v>
      </c>
    </row>
    <row r="475" spans="1:2" x14ac:dyDescent="0.25">
      <c r="A475" s="4" t="s">
        <v>633</v>
      </c>
      <c r="B475" s="2" t="s">
        <v>1082</v>
      </c>
    </row>
    <row r="476" spans="1:2" x14ac:dyDescent="0.25">
      <c r="A476" s="5" t="s">
        <v>634</v>
      </c>
      <c r="B476" s="2" t="s">
        <v>1083</v>
      </c>
    </row>
    <row r="477" spans="1:2" x14ac:dyDescent="0.25">
      <c r="A477" t="s">
        <v>1194</v>
      </c>
      <c r="B477" s="2" t="s">
        <v>1084</v>
      </c>
    </row>
    <row r="478" spans="1:2" x14ac:dyDescent="0.25">
      <c r="A478" t="s">
        <v>1195</v>
      </c>
      <c r="B478" s="2" t="s">
        <v>1085</v>
      </c>
    </row>
    <row r="479" spans="1:2" x14ac:dyDescent="0.25">
      <c r="A479" t="s">
        <v>1196</v>
      </c>
      <c r="B479" s="2" t="s">
        <v>1086</v>
      </c>
    </row>
    <row r="480" spans="1:2" x14ac:dyDescent="0.25">
      <c r="A480" t="s">
        <v>1197</v>
      </c>
      <c r="B480" s="2" t="s">
        <v>1087</v>
      </c>
    </row>
    <row r="481" spans="1:2" x14ac:dyDescent="0.25">
      <c r="A481" t="s">
        <v>1198</v>
      </c>
      <c r="B481" s="2" t="s">
        <v>1088</v>
      </c>
    </row>
    <row r="482" spans="1:2" x14ac:dyDescent="0.25">
      <c r="A482" t="s">
        <v>1199</v>
      </c>
      <c r="B482" s="2" t="s">
        <v>1089</v>
      </c>
    </row>
    <row r="483" spans="1:2" x14ac:dyDescent="0.25">
      <c r="A483" t="s">
        <v>1200</v>
      </c>
      <c r="B483" s="2" t="s">
        <v>1090</v>
      </c>
    </row>
    <row r="484" spans="1:2" x14ac:dyDescent="0.25">
      <c r="A484" t="s">
        <v>1201</v>
      </c>
      <c r="B484" s="2" t="s">
        <v>1091</v>
      </c>
    </row>
    <row r="485" spans="1:2" x14ac:dyDescent="0.25">
      <c r="A485" t="s">
        <v>1202</v>
      </c>
      <c r="B485" s="2" t="s">
        <v>1092</v>
      </c>
    </row>
    <row r="486" spans="1:2" x14ac:dyDescent="0.25">
      <c r="A486" s="4" t="s">
        <v>1203</v>
      </c>
      <c r="B486" s="2" t="s">
        <v>1093</v>
      </c>
    </row>
    <row r="487" spans="1:2" x14ac:dyDescent="0.25">
      <c r="A487" s="5" t="s">
        <v>1204</v>
      </c>
      <c r="B487" s="2" t="s">
        <v>1094</v>
      </c>
    </row>
    <row r="488" spans="1:2" x14ac:dyDescent="0.25">
      <c r="A488" s="5" t="s">
        <v>1205</v>
      </c>
      <c r="B488" s="2" t="s">
        <v>1095</v>
      </c>
    </row>
    <row r="489" spans="1:2" x14ac:dyDescent="0.25">
      <c r="A489" s="5" t="s">
        <v>1206</v>
      </c>
      <c r="B489" s="2" t="s">
        <v>1096</v>
      </c>
    </row>
    <row r="490" spans="1:2" x14ac:dyDescent="0.25">
      <c r="A490" s="5" t="s">
        <v>1207</v>
      </c>
      <c r="B490" s="2" t="s">
        <v>1208</v>
      </c>
    </row>
    <row r="491" spans="1:2" x14ac:dyDescent="0.25">
      <c r="A491" t="s">
        <v>920</v>
      </c>
      <c r="B491" s="2" t="s">
        <v>1209</v>
      </c>
    </row>
    <row r="492" spans="1:2" x14ac:dyDescent="0.25">
      <c r="A492" t="s">
        <v>921</v>
      </c>
      <c r="B492" s="2" t="s">
        <v>1210</v>
      </c>
    </row>
    <row r="493" spans="1:2" x14ac:dyDescent="0.25">
      <c r="A493" t="s">
        <v>922</v>
      </c>
      <c r="B493" s="2" t="s">
        <v>1211</v>
      </c>
    </row>
    <row r="494" spans="1:2" x14ac:dyDescent="0.25">
      <c r="A494" t="s">
        <v>923</v>
      </c>
      <c r="B494" s="2" t="s">
        <v>1212</v>
      </c>
    </row>
    <row r="495" spans="1:2" x14ac:dyDescent="0.25">
      <c r="A495" t="s">
        <v>271</v>
      </c>
      <c r="B495" s="2" t="s">
        <v>1213</v>
      </c>
    </row>
    <row r="496" spans="1:2" x14ac:dyDescent="0.25">
      <c r="A496" t="s">
        <v>270</v>
      </c>
      <c r="B496" s="2" t="s">
        <v>1214</v>
      </c>
    </row>
    <row r="497" spans="1:2" x14ac:dyDescent="0.25">
      <c r="A497" t="s">
        <v>269</v>
      </c>
      <c r="B497" s="2" t="s">
        <v>1215</v>
      </c>
    </row>
    <row r="498" spans="1:2" x14ac:dyDescent="0.25">
      <c r="A498" t="s">
        <v>541</v>
      </c>
      <c r="B498" s="2" t="s">
        <v>1216</v>
      </c>
    </row>
    <row r="499" spans="1:2" x14ac:dyDescent="0.25">
      <c r="A499" t="s">
        <v>553</v>
      </c>
      <c r="B499" s="2" t="s">
        <v>1217</v>
      </c>
    </row>
    <row r="500" spans="1:2" x14ac:dyDescent="0.25">
      <c r="A500" s="4" t="s">
        <v>727</v>
      </c>
      <c r="B500" s="2" t="s">
        <v>1218</v>
      </c>
    </row>
    <row r="501" spans="1:2" x14ac:dyDescent="0.25">
      <c r="A501" s="5" t="s">
        <v>554</v>
      </c>
      <c r="B501" s="2" t="s">
        <v>1219</v>
      </c>
    </row>
    <row r="502" spans="1:2" x14ac:dyDescent="0.25">
      <c r="A502" s="5" t="s">
        <v>555</v>
      </c>
      <c r="B502" s="2" t="s">
        <v>1220</v>
      </c>
    </row>
    <row r="503" spans="1:2" x14ac:dyDescent="0.25">
      <c r="A503" s="5" t="s">
        <v>556</v>
      </c>
      <c r="B503" s="2" t="s">
        <v>1221</v>
      </c>
    </row>
    <row r="504" spans="1:2" x14ac:dyDescent="0.25">
      <c r="A504" t="s">
        <v>284</v>
      </c>
      <c r="B504" s="1">
        <v>1</v>
      </c>
    </row>
    <row r="505" spans="1:2" x14ac:dyDescent="0.25">
      <c r="A505" t="s">
        <v>285</v>
      </c>
      <c r="B505" s="1">
        <v>2</v>
      </c>
    </row>
    <row r="506" spans="1:2" x14ac:dyDescent="0.25">
      <c r="A506" t="s">
        <v>286</v>
      </c>
      <c r="B506" s="1">
        <v>3</v>
      </c>
    </row>
    <row r="507" spans="1:2" x14ac:dyDescent="0.25">
      <c r="A507" t="s">
        <v>287</v>
      </c>
      <c r="B507" s="1">
        <v>4</v>
      </c>
    </row>
    <row r="508" spans="1:2" x14ac:dyDescent="0.25">
      <c r="A508" t="s">
        <v>288</v>
      </c>
      <c r="B508" s="1">
        <v>5</v>
      </c>
    </row>
    <row r="509" spans="1:2" x14ac:dyDescent="0.25">
      <c r="A509" t="s">
        <v>733</v>
      </c>
      <c r="B509" s="1">
        <v>6</v>
      </c>
    </row>
    <row r="510" spans="1:2" x14ac:dyDescent="0.25">
      <c r="A510" t="s">
        <v>289</v>
      </c>
      <c r="B510" s="1">
        <v>7</v>
      </c>
    </row>
    <row r="511" spans="1:2" x14ac:dyDescent="0.25">
      <c r="A511" t="s">
        <v>290</v>
      </c>
      <c r="B511" s="1">
        <v>8</v>
      </c>
    </row>
    <row r="512" spans="1:2" x14ac:dyDescent="0.25">
      <c r="A512" t="s">
        <v>291</v>
      </c>
      <c r="B512" s="1">
        <v>10</v>
      </c>
    </row>
    <row r="513" spans="1:2" x14ac:dyDescent="0.25">
      <c r="A513" t="s">
        <v>734</v>
      </c>
      <c r="B513" s="1">
        <v>11</v>
      </c>
    </row>
    <row r="514" spans="1:2" x14ac:dyDescent="0.25">
      <c r="A514" t="s">
        <v>735</v>
      </c>
      <c r="B514" s="1">
        <v>12</v>
      </c>
    </row>
    <row r="515" spans="1:2" x14ac:dyDescent="0.25">
      <c r="A515" t="s">
        <v>736</v>
      </c>
      <c r="B515" s="1">
        <v>13</v>
      </c>
    </row>
    <row r="516" spans="1:2" x14ac:dyDescent="0.25">
      <c r="A516" t="s">
        <v>737</v>
      </c>
      <c r="B516" s="1">
        <v>14</v>
      </c>
    </row>
    <row r="517" spans="1:2" x14ac:dyDescent="0.25">
      <c r="A517" t="s">
        <v>292</v>
      </c>
      <c r="B517" s="1">
        <v>15</v>
      </c>
    </row>
    <row r="518" spans="1:2" x14ac:dyDescent="0.25">
      <c r="A518" t="s">
        <v>293</v>
      </c>
      <c r="B518" s="1">
        <v>16</v>
      </c>
    </row>
    <row r="519" spans="1:2" x14ac:dyDescent="0.25">
      <c r="A519" t="s">
        <v>294</v>
      </c>
      <c r="B519" s="1">
        <v>17</v>
      </c>
    </row>
    <row r="520" spans="1:2" x14ac:dyDescent="0.25">
      <c r="A520" t="s">
        <v>295</v>
      </c>
      <c r="B520" s="1">
        <v>18</v>
      </c>
    </row>
    <row r="521" spans="1:2" x14ac:dyDescent="0.25">
      <c r="A521" t="s">
        <v>296</v>
      </c>
      <c r="B521" s="1">
        <v>19</v>
      </c>
    </row>
    <row r="522" spans="1:2" x14ac:dyDescent="0.25">
      <c r="A522" t="s">
        <v>297</v>
      </c>
      <c r="B522" s="1">
        <v>20</v>
      </c>
    </row>
    <row r="523" spans="1:2" x14ac:dyDescent="0.25">
      <c r="A523" t="s">
        <v>298</v>
      </c>
      <c r="B523" s="1">
        <v>21</v>
      </c>
    </row>
    <row r="524" spans="1:2" x14ac:dyDescent="0.25">
      <c r="A524" t="s">
        <v>299</v>
      </c>
      <c r="B524" s="1">
        <v>22</v>
      </c>
    </row>
    <row r="525" spans="1:2" x14ac:dyDescent="0.25">
      <c r="A525" t="s">
        <v>300</v>
      </c>
      <c r="B525" s="1">
        <v>23</v>
      </c>
    </row>
    <row r="526" spans="1:2" x14ac:dyDescent="0.25">
      <c r="A526" t="s">
        <v>301</v>
      </c>
      <c r="B526" s="1">
        <v>24</v>
      </c>
    </row>
    <row r="527" spans="1:2" x14ac:dyDescent="0.25">
      <c r="A527" t="s">
        <v>738</v>
      </c>
      <c r="B527" s="1">
        <v>25</v>
      </c>
    </row>
    <row r="528" spans="1:2" x14ac:dyDescent="0.25">
      <c r="A528" t="s">
        <v>739</v>
      </c>
      <c r="B528" s="1">
        <v>26</v>
      </c>
    </row>
    <row r="529" spans="1:2" x14ac:dyDescent="0.25">
      <c r="A529" t="s">
        <v>302</v>
      </c>
      <c r="B529" s="1">
        <v>27</v>
      </c>
    </row>
    <row r="530" spans="1:2" x14ac:dyDescent="0.25">
      <c r="A530" t="s">
        <v>303</v>
      </c>
      <c r="B530" s="1">
        <v>28</v>
      </c>
    </row>
    <row r="531" spans="1:2" x14ac:dyDescent="0.25">
      <c r="A531" t="s">
        <v>304</v>
      </c>
      <c r="B531" s="1">
        <v>29</v>
      </c>
    </row>
    <row r="532" spans="1:2" x14ac:dyDescent="0.25">
      <c r="A532" t="s">
        <v>305</v>
      </c>
      <c r="B532" s="1">
        <v>30</v>
      </c>
    </row>
    <row r="533" spans="1:2" x14ac:dyDescent="0.25">
      <c r="A533" t="s">
        <v>306</v>
      </c>
      <c r="B533" s="1">
        <v>31</v>
      </c>
    </row>
    <row r="534" spans="1:2" x14ac:dyDescent="0.25">
      <c r="A534" t="s">
        <v>307</v>
      </c>
      <c r="B534" s="1">
        <v>32</v>
      </c>
    </row>
    <row r="535" spans="1:2" x14ac:dyDescent="0.25">
      <c r="A535" t="s">
        <v>308</v>
      </c>
      <c r="B535" s="1">
        <v>33</v>
      </c>
    </row>
    <row r="536" spans="1:2" x14ac:dyDescent="0.25">
      <c r="A536" t="s">
        <v>309</v>
      </c>
      <c r="B536" s="1">
        <v>34</v>
      </c>
    </row>
    <row r="537" spans="1:2" x14ac:dyDescent="0.25">
      <c r="A537" t="s">
        <v>574</v>
      </c>
      <c r="B537" s="1">
        <v>35</v>
      </c>
    </row>
    <row r="538" spans="1:2" x14ac:dyDescent="0.25">
      <c r="A538" t="s">
        <v>310</v>
      </c>
      <c r="B538" s="1">
        <v>37</v>
      </c>
    </row>
    <row r="539" spans="1:2" x14ac:dyDescent="0.25">
      <c r="A539" t="s">
        <v>740</v>
      </c>
      <c r="B539" s="1">
        <v>38</v>
      </c>
    </row>
    <row r="540" spans="1:2" x14ac:dyDescent="0.25">
      <c r="A540" t="s">
        <v>741</v>
      </c>
      <c r="B540" s="1">
        <v>39</v>
      </c>
    </row>
    <row r="541" spans="1:2" x14ac:dyDescent="0.25">
      <c r="A541" t="s">
        <v>742</v>
      </c>
      <c r="B541" s="1">
        <v>40</v>
      </c>
    </row>
    <row r="542" spans="1:2" x14ac:dyDescent="0.25">
      <c r="A542" t="s">
        <v>743</v>
      </c>
      <c r="B542" s="1">
        <v>41</v>
      </c>
    </row>
    <row r="543" spans="1:2" x14ac:dyDescent="0.25">
      <c r="A543" t="s">
        <v>311</v>
      </c>
      <c r="B543" s="1">
        <v>42</v>
      </c>
    </row>
    <row r="544" spans="1:2" x14ac:dyDescent="0.25">
      <c r="A544" t="s">
        <v>312</v>
      </c>
      <c r="B544" s="1">
        <v>43</v>
      </c>
    </row>
    <row r="545" spans="1:2" x14ac:dyDescent="0.25">
      <c r="A545" t="s">
        <v>313</v>
      </c>
      <c r="B545" s="1">
        <v>44</v>
      </c>
    </row>
    <row r="546" spans="1:2" x14ac:dyDescent="0.25">
      <c r="A546" t="s">
        <v>314</v>
      </c>
      <c r="B546" s="1">
        <v>45</v>
      </c>
    </row>
    <row r="547" spans="1:2" x14ac:dyDescent="0.25">
      <c r="A547" t="s">
        <v>315</v>
      </c>
      <c r="B547" s="1">
        <v>46</v>
      </c>
    </row>
    <row r="548" spans="1:2" x14ac:dyDescent="0.25">
      <c r="A548" t="s">
        <v>316</v>
      </c>
      <c r="B548" s="1">
        <v>47</v>
      </c>
    </row>
    <row r="549" spans="1:2" x14ac:dyDescent="0.25">
      <c r="A549" t="s">
        <v>317</v>
      </c>
      <c r="B549" s="1">
        <v>48</v>
      </c>
    </row>
    <row r="550" spans="1:2" x14ac:dyDescent="0.25">
      <c r="A550" t="s">
        <v>318</v>
      </c>
      <c r="B550" s="1">
        <v>49</v>
      </c>
    </row>
    <row r="551" spans="1:2" x14ac:dyDescent="0.25">
      <c r="A551" t="s">
        <v>319</v>
      </c>
      <c r="B551" s="1">
        <v>50</v>
      </c>
    </row>
    <row r="552" spans="1:2" x14ac:dyDescent="0.25">
      <c r="A552" t="s">
        <v>320</v>
      </c>
      <c r="B552" s="1">
        <v>51</v>
      </c>
    </row>
    <row r="553" spans="1:2" x14ac:dyDescent="0.25">
      <c r="A553" t="s">
        <v>744</v>
      </c>
      <c r="B553" s="1">
        <v>52</v>
      </c>
    </row>
    <row r="554" spans="1:2" x14ac:dyDescent="0.25">
      <c r="A554" t="s">
        <v>745</v>
      </c>
      <c r="B554" s="1">
        <v>53</v>
      </c>
    </row>
    <row r="555" spans="1:2" x14ac:dyDescent="0.25">
      <c r="A555" t="s">
        <v>321</v>
      </c>
      <c r="B555" s="1">
        <v>54</v>
      </c>
    </row>
    <row r="556" spans="1:2" x14ac:dyDescent="0.25">
      <c r="A556" t="s">
        <v>322</v>
      </c>
      <c r="B556" s="1">
        <v>55</v>
      </c>
    </row>
    <row r="557" spans="1:2" x14ac:dyDescent="0.25">
      <c r="A557" t="s">
        <v>323</v>
      </c>
      <c r="B557" s="1">
        <v>56</v>
      </c>
    </row>
    <row r="558" spans="1:2" x14ac:dyDescent="0.25">
      <c r="A558" t="s">
        <v>324</v>
      </c>
      <c r="B558" s="1">
        <v>57</v>
      </c>
    </row>
    <row r="559" spans="1:2" x14ac:dyDescent="0.25">
      <c r="A559" t="s">
        <v>325</v>
      </c>
      <c r="B559" s="1">
        <v>58</v>
      </c>
    </row>
    <row r="560" spans="1:2" x14ac:dyDescent="0.25">
      <c r="A560" t="s">
        <v>326</v>
      </c>
      <c r="B560" s="1">
        <v>59</v>
      </c>
    </row>
    <row r="561" spans="1:2" x14ac:dyDescent="0.25">
      <c r="A561" t="s">
        <v>327</v>
      </c>
      <c r="B561" s="1">
        <v>60</v>
      </c>
    </row>
    <row r="562" spans="1:2" x14ac:dyDescent="0.25">
      <c r="A562" t="s">
        <v>328</v>
      </c>
      <c r="B562" s="1">
        <v>61</v>
      </c>
    </row>
    <row r="563" spans="1:2" x14ac:dyDescent="0.25">
      <c r="A563" t="s">
        <v>575</v>
      </c>
      <c r="B563" s="1">
        <v>62</v>
      </c>
    </row>
    <row r="564" spans="1:2" x14ac:dyDescent="0.25">
      <c r="A564" t="s">
        <v>329</v>
      </c>
      <c r="B564" s="1">
        <v>64</v>
      </c>
    </row>
    <row r="565" spans="1:2" x14ac:dyDescent="0.25">
      <c r="A565" t="s">
        <v>330</v>
      </c>
      <c r="B565" s="1">
        <v>65</v>
      </c>
    </row>
    <row r="566" spans="1:2" x14ac:dyDescent="0.25">
      <c r="A566" t="s">
        <v>331</v>
      </c>
      <c r="B566" s="1">
        <v>66</v>
      </c>
    </row>
    <row r="567" spans="1:2" x14ac:dyDescent="0.25">
      <c r="A567" t="s">
        <v>332</v>
      </c>
      <c r="B567" s="1">
        <v>67</v>
      </c>
    </row>
    <row r="568" spans="1:2" x14ac:dyDescent="0.25">
      <c r="A568" t="s">
        <v>333</v>
      </c>
      <c r="B568" s="1">
        <v>69</v>
      </c>
    </row>
    <row r="569" spans="1:2" x14ac:dyDescent="0.25">
      <c r="A569" t="s">
        <v>746</v>
      </c>
      <c r="B569" s="1">
        <v>70</v>
      </c>
    </row>
    <row r="570" spans="1:2" x14ac:dyDescent="0.25">
      <c r="A570" t="s">
        <v>334</v>
      </c>
      <c r="B570" s="1">
        <v>71</v>
      </c>
    </row>
    <row r="571" spans="1:2" x14ac:dyDescent="0.25">
      <c r="A571" t="s">
        <v>335</v>
      </c>
      <c r="B571" s="1">
        <v>72</v>
      </c>
    </row>
    <row r="572" spans="1:2" x14ac:dyDescent="0.25">
      <c r="A572" t="s">
        <v>336</v>
      </c>
      <c r="B572" s="1">
        <v>73</v>
      </c>
    </row>
    <row r="573" spans="1:2" x14ac:dyDescent="0.25">
      <c r="A573" t="s">
        <v>337</v>
      </c>
      <c r="B573" s="1">
        <v>74</v>
      </c>
    </row>
    <row r="574" spans="1:2" x14ac:dyDescent="0.25">
      <c r="A574" t="s">
        <v>338</v>
      </c>
      <c r="B574" s="1">
        <v>76</v>
      </c>
    </row>
    <row r="575" spans="1:2" x14ac:dyDescent="0.25">
      <c r="A575" t="s">
        <v>747</v>
      </c>
      <c r="B575" s="1">
        <v>77</v>
      </c>
    </row>
    <row r="576" spans="1:2" x14ac:dyDescent="0.25">
      <c r="A576" t="s">
        <v>339</v>
      </c>
      <c r="B576" s="1">
        <v>78</v>
      </c>
    </row>
    <row r="577" spans="1:2" x14ac:dyDescent="0.25">
      <c r="A577" t="s">
        <v>340</v>
      </c>
      <c r="B577" s="1">
        <v>79</v>
      </c>
    </row>
    <row r="578" spans="1:2" x14ac:dyDescent="0.25">
      <c r="A578" t="s">
        <v>341</v>
      </c>
      <c r="B578" s="1">
        <v>80</v>
      </c>
    </row>
    <row r="579" spans="1:2" x14ac:dyDescent="0.25">
      <c r="A579" t="s">
        <v>342</v>
      </c>
      <c r="B579" s="1">
        <v>81</v>
      </c>
    </row>
    <row r="580" spans="1:2" x14ac:dyDescent="0.25">
      <c r="A580" t="s">
        <v>748</v>
      </c>
      <c r="B580" s="3" t="s">
        <v>749</v>
      </c>
    </row>
    <row r="581" spans="1:2" x14ac:dyDescent="0.25">
      <c r="A581" t="s">
        <v>750</v>
      </c>
      <c r="B581" s="2" t="s">
        <v>751</v>
      </c>
    </row>
    <row r="582" spans="1:2" x14ac:dyDescent="0.25">
      <c r="A582" t="s">
        <v>752</v>
      </c>
      <c r="B582" s="2" t="s">
        <v>753</v>
      </c>
    </row>
    <row r="583" spans="1:2" x14ac:dyDescent="0.25">
      <c r="A583" t="s">
        <v>754</v>
      </c>
      <c r="B583" s="2" t="s">
        <v>755</v>
      </c>
    </row>
    <row r="584" spans="1:2" x14ac:dyDescent="0.25">
      <c r="A584" t="s">
        <v>756</v>
      </c>
      <c r="B584" s="2" t="s">
        <v>757</v>
      </c>
    </row>
    <row r="585" spans="1:2" x14ac:dyDescent="0.25">
      <c r="A585" t="s">
        <v>758</v>
      </c>
      <c r="B585" s="2" t="s">
        <v>759</v>
      </c>
    </row>
    <row r="586" spans="1:2" x14ac:dyDescent="0.25">
      <c r="A586" t="s">
        <v>760</v>
      </c>
      <c r="B586" s="2" t="s">
        <v>761</v>
      </c>
    </row>
    <row r="587" spans="1:2" s="5" customFormat="1" x14ac:dyDescent="0.25">
      <c r="A587" s="4" t="s">
        <v>762</v>
      </c>
      <c r="B587" s="6" t="s">
        <v>763</v>
      </c>
    </row>
    <row r="588" spans="1:2" s="5" customFormat="1" x14ac:dyDescent="0.25">
      <c r="A588" t="s">
        <v>635</v>
      </c>
      <c r="B588" s="6" t="s">
        <v>764</v>
      </c>
    </row>
    <row r="589" spans="1:2" s="5" customFormat="1" x14ac:dyDescent="0.25">
      <c r="A589" t="s">
        <v>636</v>
      </c>
      <c r="B589" s="6" t="s">
        <v>765</v>
      </c>
    </row>
    <row r="590" spans="1:2" s="5" customFormat="1" x14ac:dyDescent="0.25">
      <c r="A590" t="s">
        <v>637</v>
      </c>
      <c r="B590" s="6" t="s">
        <v>766</v>
      </c>
    </row>
    <row r="591" spans="1:2" s="5" customFormat="1" x14ac:dyDescent="0.25">
      <c r="A591" t="s">
        <v>638</v>
      </c>
      <c r="B591" s="6" t="s">
        <v>767</v>
      </c>
    </row>
    <row r="592" spans="1:2" s="5" customFormat="1" x14ac:dyDescent="0.25">
      <c r="A592" t="s">
        <v>639</v>
      </c>
      <c r="B592" s="6" t="s">
        <v>768</v>
      </c>
    </row>
    <row r="593" spans="1:2" s="5" customFormat="1" x14ac:dyDescent="0.25">
      <c r="A593" s="4" t="s">
        <v>640</v>
      </c>
      <c r="B593" s="6" t="s">
        <v>769</v>
      </c>
    </row>
    <row r="594" spans="1:2" s="5" customFormat="1" x14ac:dyDescent="0.25">
      <c r="A594" s="5" t="s">
        <v>641</v>
      </c>
      <c r="B594" s="6" t="s">
        <v>770</v>
      </c>
    </row>
    <row r="595" spans="1:2" s="5" customFormat="1" x14ac:dyDescent="0.25">
      <c r="A595" t="s">
        <v>642</v>
      </c>
      <c r="B595" s="6" t="s">
        <v>771</v>
      </c>
    </row>
    <row r="596" spans="1:2" s="5" customFormat="1" x14ac:dyDescent="0.25">
      <c r="A596" t="s">
        <v>643</v>
      </c>
      <c r="B596" s="6" t="s">
        <v>772</v>
      </c>
    </row>
    <row r="597" spans="1:2" s="5" customFormat="1" x14ac:dyDescent="0.25">
      <c r="A597" t="s">
        <v>644</v>
      </c>
      <c r="B597" s="6" t="s">
        <v>773</v>
      </c>
    </row>
    <row r="598" spans="1:2" s="5" customFormat="1" x14ac:dyDescent="0.25">
      <c r="A598" t="s">
        <v>645</v>
      </c>
      <c r="B598" s="6" t="s">
        <v>774</v>
      </c>
    </row>
    <row r="599" spans="1:2" s="5" customFormat="1" x14ac:dyDescent="0.25">
      <c r="A599" t="s">
        <v>646</v>
      </c>
      <c r="B599" s="6" t="s">
        <v>775</v>
      </c>
    </row>
    <row r="600" spans="1:2" s="5" customFormat="1" x14ac:dyDescent="0.25">
      <c r="A600" s="4" t="s">
        <v>647</v>
      </c>
      <c r="B600" s="6" t="s">
        <v>776</v>
      </c>
    </row>
    <row r="601" spans="1:2" s="5" customFormat="1" x14ac:dyDescent="0.25">
      <c r="A601" s="5" t="s">
        <v>648</v>
      </c>
      <c r="B601" s="6" t="s">
        <v>777</v>
      </c>
    </row>
    <row r="602" spans="1:2" s="5" customFormat="1" x14ac:dyDescent="0.25">
      <c r="A602" s="5" t="s">
        <v>649</v>
      </c>
      <c r="B602" s="6" t="s">
        <v>778</v>
      </c>
    </row>
    <row r="603" spans="1:2" s="5" customFormat="1" x14ac:dyDescent="0.25">
      <c r="A603" s="5" t="s">
        <v>650</v>
      </c>
      <c r="B603" s="6" t="s">
        <v>779</v>
      </c>
    </row>
    <row r="604" spans="1:2" x14ac:dyDescent="0.25">
      <c r="A604" t="s">
        <v>343</v>
      </c>
      <c r="B604" s="1">
        <v>1</v>
      </c>
    </row>
    <row r="605" spans="1:2" x14ac:dyDescent="0.25">
      <c r="A605" t="s">
        <v>344</v>
      </c>
      <c r="B605" s="1">
        <v>2</v>
      </c>
    </row>
    <row r="606" spans="1:2" x14ac:dyDescent="0.25">
      <c r="A606" t="s">
        <v>345</v>
      </c>
      <c r="B606" s="1">
        <v>3</v>
      </c>
    </row>
    <row r="607" spans="1:2" x14ac:dyDescent="0.25">
      <c r="A607" t="s">
        <v>346</v>
      </c>
      <c r="B607" s="1">
        <v>4</v>
      </c>
    </row>
    <row r="608" spans="1:2" x14ac:dyDescent="0.25">
      <c r="A608" t="s">
        <v>347</v>
      </c>
      <c r="B608" s="1">
        <v>5</v>
      </c>
    </row>
    <row r="609" spans="1:2" x14ac:dyDescent="0.25">
      <c r="A609" t="s">
        <v>780</v>
      </c>
      <c r="B609" s="1">
        <v>6</v>
      </c>
    </row>
    <row r="610" spans="1:2" x14ac:dyDescent="0.25">
      <c r="A610" t="s">
        <v>348</v>
      </c>
      <c r="B610" s="1">
        <v>7</v>
      </c>
    </row>
    <row r="611" spans="1:2" x14ac:dyDescent="0.25">
      <c r="A611" t="s">
        <v>349</v>
      </c>
      <c r="B611" s="1">
        <v>8</v>
      </c>
    </row>
    <row r="612" spans="1:2" x14ac:dyDescent="0.25">
      <c r="A612" t="s">
        <v>350</v>
      </c>
      <c r="B612" s="1">
        <v>10</v>
      </c>
    </row>
    <row r="613" spans="1:2" x14ac:dyDescent="0.25">
      <c r="A613" t="s">
        <v>781</v>
      </c>
      <c r="B613" s="1">
        <v>11</v>
      </c>
    </row>
    <row r="614" spans="1:2" x14ac:dyDescent="0.25">
      <c r="A614" t="s">
        <v>782</v>
      </c>
      <c r="B614" s="1">
        <v>12</v>
      </c>
    </row>
    <row r="615" spans="1:2" x14ac:dyDescent="0.25">
      <c r="A615" t="s">
        <v>783</v>
      </c>
      <c r="B615" s="1">
        <v>13</v>
      </c>
    </row>
    <row r="616" spans="1:2" x14ac:dyDescent="0.25">
      <c r="A616" t="s">
        <v>784</v>
      </c>
      <c r="B616" s="1">
        <v>14</v>
      </c>
    </row>
    <row r="617" spans="1:2" x14ac:dyDescent="0.25">
      <c r="A617" t="s">
        <v>351</v>
      </c>
      <c r="B617" s="1">
        <v>15</v>
      </c>
    </row>
    <row r="618" spans="1:2" x14ac:dyDescent="0.25">
      <c r="A618" t="s">
        <v>352</v>
      </c>
      <c r="B618" s="1">
        <v>16</v>
      </c>
    </row>
    <row r="619" spans="1:2" x14ac:dyDescent="0.25">
      <c r="A619" t="s">
        <v>353</v>
      </c>
      <c r="B619" s="1">
        <v>17</v>
      </c>
    </row>
    <row r="620" spans="1:2" x14ac:dyDescent="0.25">
      <c r="A620" t="s">
        <v>354</v>
      </c>
      <c r="B620" s="1">
        <v>18</v>
      </c>
    </row>
    <row r="621" spans="1:2" x14ac:dyDescent="0.25">
      <c r="A621" t="s">
        <v>355</v>
      </c>
      <c r="B621" s="1">
        <v>19</v>
      </c>
    </row>
    <row r="622" spans="1:2" x14ac:dyDescent="0.25">
      <c r="A622" t="s">
        <v>356</v>
      </c>
      <c r="B622" s="1">
        <v>20</v>
      </c>
    </row>
    <row r="623" spans="1:2" x14ac:dyDescent="0.25">
      <c r="A623" t="s">
        <v>357</v>
      </c>
      <c r="B623" s="1">
        <v>21</v>
      </c>
    </row>
    <row r="624" spans="1:2" x14ac:dyDescent="0.25">
      <c r="A624" t="s">
        <v>358</v>
      </c>
      <c r="B624" s="1">
        <v>22</v>
      </c>
    </row>
    <row r="625" spans="1:2" x14ac:dyDescent="0.25">
      <c r="A625" t="s">
        <v>359</v>
      </c>
      <c r="B625" s="1">
        <v>23</v>
      </c>
    </row>
    <row r="626" spans="1:2" x14ac:dyDescent="0.25">
      <c r="A626" t="s">
        <v>360</v>
      </c>
      <c r="B626" s="1">
        <v>24</v>
      </c>
    </row>
    <row r="627" spans="1:2" x14ac:dyDescent="0.25">
      <c r="A627" t="s">
        <v>361</v>
      </c>
      <c r="B627" s="1">
        <v>25</v>
      </c>
    </row>
    <row r="628" spans="1:2" x14ac:dyDescent="0.25">
      <c r="A628" t="s">
        <v>362</v>
      </c>
      <c r="B628" s="1">
        <v>26</v>
      </c>
    </row>
    <row r="629" spans="1:2" x14ac:dyDescent="0.25">
      <c r="A629" t="s">
        <v>363</v>
      </c>
      <c r="B629" s="1">
        <v>27</v>
      </c>
    </row>
    <row r="630" spans="1:2" x14ac:dyDescent="0.25">
      <c r="A630" t="s">
        <v>364</v>
      </c>
      <c r="B630" s="1">
        <v>28</v>
      </c>
    </row>
    <row r="631" spans="1:2" x14ac:dyDescent="0.25">
      <c r="A631" t="s">
        <v>365</v>
      </c>
      <c r="B631" s="1">
        <v>29</v>
      </c>
    </row>
    <row r="632" spans="1:2" x14ac:dyDescent="0.25">
      <c r="A632" t="s">
        <v>366</v>
      </c>
      <c r="B632" s="1">
        <v>30</v>
      </c>
    </row>
    <row r="633" spans="1:2" x14ac:dyDescent="0.25">
      <c r="A633" t="s">
        <v>367</v>
      </c>
      <c r="B633" s="1">
        <v>31</v>
      </c>
    </row>
    <row r="634" spans="1:2" x14ac:dyDescent="0.25">
      <c r="A634" t="s">
        <v>368</v>
      </c>
      <c r="B634" s="1">
        <v>32</v>
      </c>
    </row>
    <row r="635" spans="1:2" x14ac:dyDescent="0.25">
      <c r="A635" t="s">
        <v>369</v>
      </c>
      <c r="B635" s="1">
        <v>33</v>
      </c>
    </row>
    <row r="636" spans="1:2" x14ac:dyDescent="0.25">
      <c r="A636" t="s">
        <v>370</v>
      </c>
      <c r="B636" s="1">
        <v>35</v>
      </c>
    </row>
    <row r="637" spans="1:2" x14ac:dyDescent="0.25">
      <c r="A637" t="s">
        <v>785</v>
      </c>
      <c r="B637" s="1">
        <v>36</v>
      </c>
    </row>
    <row r="638" spans="1:2" x14ac:dyDescent="0.25">
      <c r="A638" t="s">
        <v>786</v>
      </c>
      <c r="B638" s="1">
        <v>37</v>
      </c>
    </row>
    <row r="639" spans="1:2" x14ac:dyDescent="0.25">
      <c r="A639" t="s">
        <v>787</v>
      </c>
      <c r="B639" s="1">
        <v>38</v>
      </c>
    </row>
    <row r="640" spans="1:2" x14ac:dyDescent="0.25">
      <c r="A640" t="s">
        <v>788</v>
      </c>
      <c r="B640" s="1">
        <v>39</v>
      </c>
    </row>
    <row r="641" spans="1:2" x14ac:dyDescent="0.25">
      <c r="A641" t="s">
        <v>371</v>
      </c>
      <c r="B641" s="1">
        <v>40</v>
      </c>
    </row>
    <row r="642" spans="1:2" x14ac:dyDescent="0.25">
      <c r="A642" t="s">
        <v>372</v>
      </c>
      <c r="B642" s="1">
        <v>41</v>
      </c>
    </row>
    <row r="643" spans="1:2" x14ac:dyDescent="0.25">
      <c r="A643" t="s">
        <v>373</v>
      </c>
      <c r="B643" s="1">
        <v>42</v>
      </c>
    </row>
    <row r="644" spans="1:2" x14ac:dyDescent="0.25">
      <c r="A644" t="s">
        <v>374</v>
      </c>
      <c r="B644" s="1">
        <v>43</v>
      </c>
    </row>
    <row r="645" spans="1:2" x14ac:dyDescent="0.25">
      <c r="A645" t="s">
        <v>375</v>
      </c>
      <c r="B645" s="1">
        <v>44</v>
      </c>
    </row>
    <row r="646" spans="1:2" x14ac:dyDescent="0.25">
      <c r="A646" t="s">
        <v>376</v>
      </c>
      <c r="B646" s="1">
        <v>45</v>
      </c>
    </row>
    <row r="647" spans="1:2" x14ac:dyDescent="0.25">
      <c r="A647" t="s">
        <v>377</v>
      </c>
      <c r="B647" s="1">
        <v>46</v>
      </c>
    </row>
    <row r="648" spans="1:2" x14ac:dyDescent="0.25">
      <c r="A648" t="s">
        <v>378</v>
      </c>
      <c r="B648" s="1">
        <v>47</v>
      </c>
    </row>
    <row r="649" spans="1:2" x14ac:dyDescent="0.25">
      <c r="A649" t="s">
        <v>379</v>
      </c>
      <c r="B649" s="1">
        <v>48</v>
      </c>
    </row>
    <row r="650" spans="1:2" x14ac:dyDescent="0.25">
      <c r="A650" t="s">
        <v>380</v>
      </c>
      <c r="B650" s="1">
        <v>49</v>
      </c>
    </row>
    <row r="651" spans="1:2" x14ac:dyDescent="0.25">
      <c r="A651" t="s">
        <v>381</v>
      </c>
      <c r="B651" s="1">
        <v>50</v>
      </c>
    </row>
    <row r="652" spans="1:2" x14ac:dyDescent="0.25">
      <c r="A652" t="s">
        <v>382</v>
      </c>
      <c r="B652" s="1">
        <v>51</v>
      </c>
    </row>
    <row r="653" spans="1:2" x14ac:dyDescent="0.25">
      <c r="A653" t="s">
        <v>383</v>
      </c>
      <c r="B653" s="1">
        <v>52</v>
      </c>
    </row>
    <row r="654" spans="1:2" x14ac:dyDescent="0.25">
      <c r="A654" t="s">
        <v>384</v>
      </c>
      <c r="B654" s="1">
        <v>53</v>
      </c>
    </row>
    <row r="655" spans="1:2" x14ac:dyDescent="0.25">
      <c r="A655" t="s">
        <v>385</v>
      </c>
      <c r="B655" s="1">
        <v>54</v>
      </c>
    </row>
    <row r="656" spans="1:2" x14ac:dyDescent="0.25">
      <c r="A656" t="s">
        <v>386</v>
      </c>
      <c r="B656" s="1">
        <v>55</v>
      </c>
    </row>
    <row r="657" spans="1:2" x14ac:dyDescent="0.25">
      <c r="A657" t="s">
        <v>387</v>
      </c>
      <c r="B657" s="1">
        <v>56</v>
      </c>
    </row>
    <row r="658" spans="1:2" x14ac:dyDescent="0.25">
      <c r="A658" t="s">
        <v>388</v>
      </c>
      <c r="B658" s="1">
        <v>57</v>
      </c>
    </row>
    <row r="659" spans="1:2" x14ac:dyDescent="0.25">
      <c r="A659" t="s">
        <v>389</v>
      </c>
      <c r="B659" s="1">
        <v>58</v>
      </c>
    </row>
    <row r="660" spans="1:2" x14ac:dyDescent="0.25">
      <c r="A660" t="s">
        <v>390</v>
      </c>
      <c r="B660" s="1">
        <v>60</v>
      </c>
    </row>
    <row r="661" spans="1:2" x14ac:dyDescent="0.25">
      <c r="A661" t="s">
        <v>391</v>
      </c>
      <c r="B661" s="1">
        <v>61</v>
      </c>
    </row>
    <row r="662" spans="1:2" x14ac:dyDescent="0.25">
      <c r="A662" t="s">
        <v>392</v>
      </c>
      <c r="B662" s="1">
        <v>62</v>
      </c>
    </row>
    <row r="663" spans="1:2" x14ac:dyDescent="0.25">
      <c r="A663" t="s">
        <v>393</v>
      </c>
      <c r="B663" s="1">
        <v>63</v>
      </c>
    </row>
    <row r="664" spans="1:2" x14ac:dyDescent="0.25">
      <c r="A664" t="s">
        <v>394</v>
      </c>
      <c r="B664" s="1">
        <v>65</v>
      </c>
    </row>
    <row r="665" spans="1:2" x14ac:dyDescent="0.25">
      <c r="A665" t="s">
        <v>395</v>
      </c>
      <c r="B665" s="1">
        <v>66</v>
      </c>
    </row>
    <row r="666" spans="1:2" x14ac:dyDescent="0.25">
      <c r="A666" t="s">
        <v>396</v>
      </c>
      <c r="B666" s="1">
        <v>67</v>
      </c>
    </row>
    <row r="667" spans="1:2" x14ac:dyDescent="0.25">
      <c r="A667" t="s">
        <v>397</v>
      </c>
      <c r="B667" s="1">
        <v>68</v>
      </c>
    </row>
    <row r="668" spans="1:2" x14ac:dyDescent="0.25">
      <c r="A668" t="s">
        <v>398</v>
      </c>
      <c r="B668" s="1">
        <v>70</v>
      </c>
    </row>
    <row r="669" spans="1:2" x14ac:dyDescent="0.25">
      <c r="A669" t="s">
        <v>399</v>
      </c>
      <c r="B669" s="1">
        <v>71</v>
      </c>
    </row>
    <row r="670" spans="1:2" x14ac:dyDescent="0.25">
      <c r="A670" t="s">
        <v>400</v>
      </c>
      <c r="B670" s="1">
        <v>72</v>
      </c>
    </row>
    <row r="671" spans="1:2" x14ac:dyDescent="0.25">
      <c r="A671" t="s">
        <v>401</v>
      </c>
      <c r="B671" s="1">
        <v>73</v>
      </c>
    </row>
    <row r="672" spans="1:2" x14ac:dyDescent="0.25">
      <c r="A672" t="s">
        <v>402</v>
      </c>
      <c r="B672" s="2" t="s">
        <v>789</v>
      </c>
    </row>
    <row r="673" spans="1:2" x14ac:dyDescent="0.25">
      <c r="A673" t="s">
        <v>403</v>
      </c>
      <c r="B673" s="2" t="s">
        <v>790</v>
      </c>
    </row>
    <row r="674" spans="1:2" x14ac:dyDescent="0.25">
      <c r="A674" t="s">
        <v>791</v>
      </c>
      <c r="B674" s="2" t="s">
        <v>792</v>
      </c>
    </row>
    <row r="675" spans="1:2" x14ac:dyDescent="0.25">
      <c r="A675" t="s">
        <v>793</v>
      </c>
      <c r="B675" s="2" t="s">
        <v>794</v>
      </c>
    </row>
    <row r="676" spans="1:2" x14ac:dyDescent="0.25">
      <c r="A676" t="s">
        <v>795</v>
      </c>
      <c r="B676" s="2" t="s">
        <v>796</v>
      </c>
    </row>
    <row r="677" spans="1:2" x14ac:dyDescent="0.25">
      <c r="A677" t="s">
        <v>797</v>
      </c>
      <c r="B677" s="2" t="s">
        <v>798</v>
      </c>
    </row>
    <row r="678" spans="1:2" x14ac:dyDescent="0.25">
      <c r="A678" t="s">
        <v>799</v>
      </c>
      <c r="B678" s="2" t="s">
        <v>800</v>
      </c>
    </row>
    <row r="679" spans="1:2" x14ac:dyDescent="0.25">
      <c r="A679" s="4" t="s">
        <v>801</v>
      </c>
      <c r="B679" s="2" t="s">
        <v>802</v>
      </c>
    </row>
    <row r="680" spans="1:2" x14ac:dyDescent="0.25">
      <c r="A680" t="s">
        <v>677</v>
      </c>
      <c r="B680" s="2" t="s">
        <v>803</v>
      </c>
    </row>
    <row r="681" spans="1:2" x14ac:dyDescent="0.25">
      <c r="A681" t="s">
        <v>678</v>
      </c>
      <c r="B681" s="2" t="s">
        <v>804</v>
      </c>
    </row>
    <row r="682" spans="1:2" x14ac:dyDescent="0.25">
      <c r="A682" t="s">
        <v>679</v>
      </c>
      <c r="B682" s="2" t="s">
        <v>805</v>
      </c>
    </row>
    <row r="683" spans="1:2" x14ac:dyDescent="0.25">
      <c r="A683" t="s">
        <v>680</v>
      </c>
      <c r="B683" s="2" t="s">
        <v>806</v>
      </c>
    </row>
    <row r="684" spans="1:2" x14ac:dyDescent="0.25">
      <c r="A684" t="s">
        <v>681</v>
      </c>
      <c r="B684" s="2" t="s">
        <v>807</v>
      </c>
    </row>
    <row r="685" spans="1:2" x14ac:dyDescent="0.25">
      <c r="A685" s="4" t="s">
        <v>682</v>
      </c>
      <c r="B685" s="2" t="s">
        <v>808</v>
      </c>
    </row>
    <row r="686" spans="1:2" x14ac:dyDescent="0.25">
      <c r="A686" s="5" t="s">
        <v>683</v>
      </c>
      <c r="B686" s="2" t="s">
        <v>809</v>
      </c>
    </row>
    <row r="687" spans="1:2" x14ac:dyDescent="0.25">
      <c r="A687" t="s">
        <v>404</v>
      </c>
      <c r="B687" s="2" t="s">
        <v>810</v>
      </c>
    </row>
    <row r="688" spans="1:2" x14ac:dyDescent="0.25">
      <c r="A688" t="s">
        <v>405</v>
      </c>
      <c r="B688" s="2" t="s">
        <v>811</v>
      </c>
    </row>
    <row r="689" spans="1:2" x14ac:dyDescent="0.25">
      <c r="A689" t="s">
        <v>406</v>
      </c>
      <c r="B689" s="2" t="s">
        <v>812</v>
      </c>
    </row>
    <row r="690" spans="1:2" x14ac:dyDescent="0.25">
      <c r="A690" t="s">
        <v>684</v>
      </c>
      <c r="B690" s="2" t="s">
        <v>813</v>
      </c>
    </row>
    <row r="691" spans="1:2" x14ac:dyDescent="0.25">
      <c r="A691" t="s">
        <v>685</v>
      </c>
      <c r="B691" s="2" t="s">
        <v>814</v>
      </c>
    </row>
    <row r="692" spans="1:2" x14ac:dyDescent="0.25">
      <c r="A692" s="4" t="s">
        <v>686</v>
      </c>
      <c r="B692" s="2" t="s">
        <v>815</v>
      </c>
    </row>
    <row r="693" spans="1:2" x14ac:dyDescent="0.25">
      <c r="A693" s="5" t="s">
        <v>687</v>
      </c>
      <c r="B693" s="2" t="s">
        <v>816</v>
      </c>
    </row>
    <row r="694" spans="1:2" x14ac:dyDescent="0.25">
      <c r="A694" s="5" t="s">
        <v>688</v>
      </c>
      <c r="B694" s="2" t="s">
        <v>817</v>
      </c>
    </row>
    <row r="695" spans="1:2" x14ac:dyDescent="0.25">
      <c r="A695" s="5" t="s">
        <v>689</v>
      </c>
      <c r="B695" s="2" t="s">
        <v>818</v>
      </c>
    </row>
    <row r="696" spans="1:2" x14ac:dyDescent="0.25">
      <c r="A696" t="s">
        <v>407</v>
      </c>
      <c r="B696" s="1">
        <v>1</v>
      </c>
    </row>
    <row r="697" spans="1:2" x14ac:dyDescent="0.25">
      <c r="A697" t="s">
        <v>408</v>
      </c>
      <c r="B697" s="1">
        <v>2</v>
      </c>
    </row>
    <row r="698" spans="1:2" x14ac:dyDescent="0.25">
      <c r="A698" t="s">
        <v>409</v>
      </c>
      <c r="B698" s="1">
        <v>3</v>
      </c>
    </row>
    <row r="699" spans="1:2" x14ac:dyDescent="0.25">
      <c r="A699" t="s">
        <v>410</v>
      </c>
      <c r="B699" s="1">
        <v>4</v>
      </c>
    </row>
    <row r="700" spans="1:2" x14ac:dyDescent="0.25">
      <c r="A700" t="s">
        <v>411</v>
      </c>
      <c r="B700" s="1">
        <v>5</v>
      </c>
    </row>
    <row r="701" spans="1:2" x14ac:dyDescent="0.25">
      <c r="A701" t="s">
        <v>819</v>
      </c>
      <c r="B701" s="1">
        <v>6</v>
      </c>
    </row>
    <row r="702" spans="1:2" x14ac:dyDescent="0.25">
      <c r="A702" t="s">
        <v>412</v>
      </c>
      <c r="B702" s="1">
        <v>7</v>
      </c>
    </row>
    <row r="703" spans="1:2" x14ac:dyDescent="0.25">
      <c r="A703" t="s">
        <v>413</v>
      </c>
      <c r="B703" s="1">
        <v>8</v>
      </c>
    </row>
    <row r="704" spans="1:2" x14ac:dyDescent="0.25">
      <c r="A704" t="s">
        <v>414</v>
      </c>
      <c r="B704" s="1">
        <v>10</v>
      </c>
    </row>
    <row r="705" spans="1:2" x14ac:dyDescent="0.25">
      <c r="A705" t="s">
        <v>820</v>
      </c>
      <c r="B705" s="1">
        <v>11</v>
      </c>
    </row>
    <row r="706" spans="1:2" x14ac:dyDescent="0.25">
      <c r="A706" t="s">
        <v>821</v>
      </c>
      <c r="B706" s="1">
        <v>12</v>
      </c>
    </row>
    <row r="707" spans="1:2" x14ac:dyDescent="0.25">
      <c r="A707" t="s">
        <v>822</v>
      </c>
      <c r="B707" s="1">
        <v>13</v>
      </c>
    </row>
    <row r="708" spans="1:2" x14ac:dyDescent="0.25">
      <c r="A708" t="s">
        <v>823</v>
      </c>
      <c r="B708" s="1">
        <v>14</v>
      </c>
    </row>
    <row r="709" spans="1:2" x14ac:dyDescent="0.25">
      <c r="A709" t="s">
        <v>415</v>
      </c>
      <c r="B709" s="1">
        <v>15</v>
      </c>
    </row>
    <row r="710" spans="1:2" x14ac:dyDescent="0.25">
      <c r="A710" t="s">
        <v>416</v>
      </c>
      <c r="B710" s="1">
        <v>16</v>
      </c>
    </row>
    <row r="711" spans="1:2" x14ac:dyDescent="0.25">
      <c r="A711" t="s">
        <v>417</v>
      </c>
      <c r="B711" s="1">
        <v>17</v>
      </c>
    </row>
    <row r="712" spans="1:2" x14ac:dyDescent="0.25">
      <c r="A712" t="s">
        <v>418</v>
      </c>
      <c r="B712" s="1">
        <v>18</v>
      </c>
    </row>
    <row r="713" spans="1:2" x14ac:dyDescent="0.25">
      <c r="A713" t="s">
        <v>419</v>
      </c>
      <c r="B713" s="1">
        <v>19</v>
      </c>
    </row>
    <row r="714" spans="1:2" x14ac:dyDescent="0.25">
      <c r="A714" t="s">
        <v>420</v>
      </c>
      <c r="B714" s="1">
        <v>20</v>
      </c>
    </row>
    <row r="715" spans="1:2" x14ac:dyDescent="0.25">
      <c r="A715" t="s">
        <v>421</v>
      </c>
      <c r="B715" s="1">
        <v>21</v>
      </c>
    </row>
    <row r="716" spans="1:2" x14ac:dyDescent="0.25">
      <c r="A716" t="s">
        <v>422</v>
      </c>
      <c r="B716" s="1">
        <v>22</v>
      </c>
    </row>
    <row r="717" spans="1:2" x14ac:dyDescent="0.25">
      <c r="A717" t="s">
        <v>423</v>
      </c>
      <c r="B717" s="1">
        <v>23</v>
      </c>
    </row>
    <row r="718" spans="1:2" x14ac:dyDescent="0.25">
      <c r="A718" t="s">
        <v>424</v>
      </c>
      <c r="B718" s="1">
        <v>24</v>
      </c>
    </row>
    <row r="719" spans="1:2" x14ac:dyDescent="0.25">
      <c r="A719" t="s">
        <v>425</v>
      </c>
      <c r="B719" s="1">
        <v>25</v>
      </c>
    </row>
    <row r="720" spans="1:2" x14ac:dyDescent="0.25">
      <c r="A720" t="s">
        <v>426</v>
      </c>
      <c r="B720" s="1">
        <v>26</v>
      </c>
    </row>
    <row r="721" spans="1:2" x14ac:dyDescent="0.25">
      <c r="A721" t="s">
        <v>427</v>
      </c>
      <c r="B721" s="1">
        <v>27</v>
      </c>
    </row>
    <row r="722" spans="1:2" x14ac:dyDescent="0.25">
      <c r="A722" t="s">
        <v>428</v>
      </c>
      <c r="B722" s="1">
        <v>28</v>
      </c>
    </row>
    <row r="723" spans="1:2" x14ac:dyDescent="0.25">
      <c r="A723" t="s">
        <v>429</v>
      </c>
      <c r="B723" s="1">
        <v>29</v>
      </c>
    </row>
    <row r="724" spans="1:2" x14ac:dyDescent="0.25">
      <c r="A724" t="s">
        <v>430</v>
      </c>
      <c r="B724" s="1">
        <v>30</v>
      </c>
    </row>
    <row r="725" spans="1:2" x14ac:dyDescent="0.25">
      <c r="A725" t="s">
        <v>431</v>
      </c>
      <c r="B725" s="1">
        <v>31</v>
      </c>
    </row>
    <row r="726" spans="1:2" x14ac:dyDescent="0.25">
      <c r="A726" t="s">
        <v>432</v>
      </c>
      <c r="B726" s="1">
        <v>32</v>
      </c>
    </row>
    <row r="727" spans="1:2" x14ac:dyDescent="0.25">
      <c r="A727" t="s">
        <v>433</v>
      </c>
      <c r="B727" s="1">
        <v>33</v>
      </c>
    </row>
    <row r="728" spans="1:2" x14ac:dyDescent="0.25">
      <c r="A728" t="s">
        <v>434</v>
      </c>
      <c r="B728" s="1">
        <v>34</v>
      </c>
    </row>
    <row r="729" spans="1:2" x14ac:dyDescent="0.25">
      <c r="A729" t="s">
        <v>435</v>
      </c>
      <c r="B729" s="1">
        <v>35</v>
      </c>
    </row>
    <row r="730" spans="1:2" x14ac:dyDescent="0.25">
      <c r="A730" t="s">
        <v>436</v>
      </c>
      <c r="B730" s="1">
        <v>36</v>
      </c>
    </row>
    <row r="731" spans="1:2" x14ac:dyDescent="0.25">
      <c r="A731" t="s">
        <v>437</v>
      </c>
      <c r="B731" s="1">
        <v>37</v>
      </c>
    </row>
    <row r="732" spans="1:2" x14ac:dyDescent="0.25">
      <c r="A732" t="s">
        <v>438</v>
      </c>
      <c r="B732" s="1">
        <v>39</v>
      </c>
    </row>
    <row r="733" spans="1:2" x14ac:dyDescent="0.25">
      <c r="A733" t="s">
        <v>824</v>
      </c>
      <c r="B733" s="1">
        <v>40</v>
      </c>
    </row>
    <row r="734" spans="1:2" x14ac:dyDescent="0.25">
      <c r="A734" t="s">
        <v>825</v>
      </c>
      <c r="B734" s="1">
        <v>41</v>
      </c>
    </row>
    <row r="735" spans="1:2" x14ac:dyDescent="0.25">
      <c r="A735" t="s">
        <v>826</v>
      </c>
      <c r="B735" s="1">
        <v>42</v>
      </c>
    </row>
    <row r="736" spans="1:2" x14ac:dyDescent="0.25">
      <c r="A736" t="s">
        <v>827</v>
      </c>
      <c r="B736" s="1">
        <v>43</v>
      </c>
    </row>
    <row r="737" spans="1:2" x14ac:dyDescent="0.25">
      <c r="A737" t="s">
        <v>439</v>
      </c>
      <c r="B737" s="1">
        <v>44</v>
      </c>
    </row>
    <row r="738" spans="1:2" x14ac:dyDescent="0.25">
      <c r="A738" t="s">
        <v>440</v>
      </c>
      <c r="B738" s="1">
        <v>45</v>
      </c>
    </row>
    <row r="739" spans="1:2" x14ac:dyDescent="0.25">
      <c r="A739" t="s">
        <v>441</v>
      </c>
      <c r="B739" s="1">
        <v>46</v>
      </c>
    </row>
    <row r="740" spans="1:2" x14ac:dyDescent="0.25">
      <c r="A740" t="s">
        <v>442</v>
      </c>
      <c r="B740" s="1">
        <v>47</v>
      </c>
    </row>
    <row r="741" spans="1:2" x14ac:dyDescent="0.25">
      <c r="A741" t="s">
        <v>443</v>
      </c>
      <c r="B741" s="1">
        <v>48</v>
      </c>
    </row>
    <row r="742" spans="1:2" x14ac:dyDescent="0.25">
      <c r="A742" t="s">
        <v>444</v>
      </c>
      <c r="B742" s="1">
        <v>49</v>
      </c>
    </row>
    <row r="743" spans="1:2" x14ac:dyDescent="0.25">
      <c r="A743" t="s">
        <v>445</v>
      </c>
      <c r="B743" s="1">
        <v>50</v>
      </c>
    </row>
    <row r="744" spans="1:2" x14ac:dyDescent="0.25">
      <c r="A744" t="s">
        <v>446</v>
      </c>
      <c r="B744" s="1">
        <v>51</v>
      </c>
    </row>
    <row r="745" spans="1:2" x14ac:dyDescent="0.25">
      <c r="A745" t="s">
        <v>447</v>
      </c>
      <c r="B745" s="1">
        <v>52</v>
      </c>
    </row>
    <row r="746" spans="1:2" x14ac:dyDescent="0.25">
      <c r="A746" t="s">
        <v>448</v>
      </c>
      <c r="B746" s="1">
        <v>53</v>
      </c>
    </row>
    <row r="747" spans="1:2" x14ac:dyDescent="0.25">
      <c r="A747" t="s">
        <v>449</v>
      </c>
      <c r="B747" s="1">
        <v>54</v>
      </c>
    </row>
    <row r="748" spans="1:2" x14ac:dyDescent="0.25">
      <c r="A748" t="s">
        <v>450</v>
      </c>
      <c r="B748" s="1">
        <v>55</v>
      </c>
    </row>
    <row r="749" spans="1:2" x14ac:dyDescent="0.25">
      <c r="A749" t="s">
        <v>451</v>
      </c>
      <c r="B749" s="1">
        <v>56</v>
      </c>
    </row>
    <row r="750" spans="1:2" x14ac:dyDescent="0.25">
      <c r="A750" t="s">
        <v>452</v>
      </c>
      <c r="B750" s="1">
        <v>57</v>
      </c>
    </row>
    <row r="751" spans="1:2" x14ac:dyDescent="0.25">
      <c r="A751" t="s">
        <v>453</v>
      </c>
      <c r="B751" s="1">
        <v>58</v>
      </c>
    </row>
    <row r="752" spans="1:2" x14ac:dyDescent="0.25">
      <c r="A752" t="s">
        <v>454</v>
      </c>
      <c r="B752" s="1">
        <v>59</v>
      </c>
    </row>
    <row r="753" spans="1:2" x14ac:dyDescent="0.25">
      <c r="A753" t="s">
        <v>455</v>
      </c>
      <c r="B753" s="1">
        <v>60</v>
      </c>
    </row>
    <row r="754" spans="1:2" x14ac:dyDescent="0.25">
      <c r="A754" t="s">
        <v>456</v>
      </c>
      <c r="B754" s="1">
        <v>61</v>
      </c>
    </row>
    <row r="755" spans="1:2" x14ac:dyDescent="0.25">
      <c r="A755" t="s">
        <v>457</v>
      </c>
      <c r="B755" s="1">
        <v>62</v>
      </c>
    </row>
    <row r="756" spans="1:2" x14ac:dyDescent="0.25">
      <c r="A756" t="s">
        <v>458</v>
      </c>
      <c r="B756" s="1">
        <v>63</v>
      </c>
    </row>
    <row r="757" spans="1:2" x14ac:dyDescent="0.25">
      <c r="A757" t="s">
        <v>459</v>
      </c>
      <c r="B757" s="1">
        <v>64</v>
      </c>
    </row>
    <row r="758" spans="1:2" x14ac:dyDescent="0.25">
      <c r="A758" t="s">
        <v>460</v>
      </c>
      <c r="B758" s="1">
        <v>65</v>
      </c>
    </row>
    <row r="759" spans="1:2" x14ac:dyDescent="0.25">
      <c r="A759" t="s">
        <v>461</v>
      </c>
      <c r="B759" s="1">
        <v>66</v>
      </c>
    </row>
    <row r="760" spans="1:2" x14ac:dyDescent="0.25">
      <c r="A760" t="s">
        <v>462</v>
      </c>
      <c r="B760" s="1">
        <v>68</v>
      </c>
    </row>
    <row r="761" spans="1:2" x14ac:dyDescent="0.25">
      <c r="A761" t="s">
        <v>463</v>
      </c>
      <c r="B761" s="1">
        <v>69</v>
      </c>
    </row>
    <row r="762" spans="1:2" x14ac:dyDescent="0.25">
      <c r="A762" t="s">
        <v>464</v>
      </c>
      <c r="B762" s="1">
        <v>70</v>
      </c>
    </row>
    <row r="763" spans="1:2" x14ac:dyDescent="0.25">
      <c r="A763" t="s">
        <v>465</v>
      </c>
      <c r="B763" s="1">
        <v>71</v>
      </c>
    </row>
    <row r="764" spans="1:2" x14ac:dyDescent="0.25">
      <c r="A764" t="s">
        <v>466</v>
      </c>
      <c r="B764" s="1">
        <v>73</v>
      </c>
    </row>
    <row r="765" spans="1:2" x14ac:dyDescent="0.25">
      <c r="A765" t="s">
        <v>467</v>
      </c>
      <c r="B765" s="1">
        <v>74</v>
      </c>
    </row>
    <row r="766" spans="1:2" x14ac:dyDescent="0.25">
      <c r="A766" t="s">
        <v>468</v>
      </c>
      <c r="B766" s="1">
        <v>75</v>
      </c>
    </row>
    <row r="767" spans="1:2" x14ac:dyDescent="0.25">
      <c r="A767" t="s">
        <v>469</v>
      </c>
      <c r="B767" s="1">
        <v>76</v>
      </c>
    </row>
    <row r="768" spans="1:2" x14ac:dyDescent="0.25">
      <c r="A768" t="s">
        <v>470</v>
      </c>
      <c r="B768" s="1">
        <v>78</v>
      </c>
    </row>
    <row r="769" spans="1:2" x14ac:dyDescent="0.25">
      <c r="A769" t="s">
        <v>471</v>
      </c>
      <c r="B769" s="1">
        <v>79</v>
      </c>
    </row>
    <row r="770" spans="1:2" x14ac:dyDescent="0.25">
      <c r="A770" t="s">
        <v>472</v>
      </c>
      <c r="B770" s="1">
        <v>80</v>
      </c>
    </row>
    <row r="771" spans="1:2" x14ac:dyDescent="0.25">
      <c r="A771" t="s">
        <v>473</v>
      </c>
      <c r="B771" s="1">
        <v>81</v>
      </c>
    </row>
    <row r="772" spans="1:2" x14ac:dyDescent="0.25">
      <c r="A772" t="s">
        <v>474</v>
      </c>
      <c r="B772" s="1">
        <v>83</v>
      </c>
    </row>
    <row r="773" spans="1:2" x14ac:dyDescent="0.25">
      <c r="A773" t="s">
        <v>475</v>
      </c>
      <c r="B773" s="1">
        <v>84</v>
      </c>
    </row>
    <row r="774" spans="1:2" x14ac:dyDescent="0.25">
      <c r="A774" t="s">
        <v>476</v>
      </c>
      <c r="B774" s="1">
        <v>85</v>
      </c>
    </row>
    <row r="775" spans="1:2" x14ac:dyDescent="0.25">
      <c r="A775" t="s">
        <v>477</v>
      </c>
      <c r="B775" s="1">
        <v>86</v>
      </c>
    </row>
    <row r="776" spans="1:2" x14ac:dyDescent="0.25">
      <c r="A776" t="s">
        <v>478</v>
      </c>
      <c r="B776" s="1">
        <v>88</v>
      </c>
    </row>
    <row r="777" spans="1:2" x14ac:dyDescent="0.25">
      <c r="A777" t="s">
        <v>479</v>
      </c>
      <c r="B777" s="1">
        <v>89</v>
      </c>
    </row>
    <row r="778" spans="1:2" x14ac:dyDescent="0.25">
      <c r="A778" t="s">
        <v>480</v>
      </c>
      <c r="B778" s="1">
        <v>90</v>
      </c>
    </row>
    <row r="779" spans="1:2" x14ac:dyDescent="0.25">
      <c r="A779" t="s">
        <v>481</v>
      </c>
      <c r="B779" s="1">
        <v>91</v>
      </c>
    </row>
    <row r="780" spans="1:2" x14ac:dyDescent="0.25">
      <c r="A780" t="s">
        <v>482</v>
      </c>
      <c r="B780" s="2" t="s">
        <v>828</v>
      </c>
    </row>
    <row r="781" spans="1:2" x14ac:dyDescent="0.25">
      <c r="A781" t="s">
        <v>483</v>
      </c>
      <c r="B781" s="2" t="s">
        <v>829</v>
      </c>
    </row>
    <row r="782" spans="1:2" x14ac:dyDescent="0.25">
      <c r="A782" t="s">
        <v>830</v>
      </c>
      <c r="B782" s="2" t="s">
        <v>831</v>
      </c>
    </row>
    <row r="783" spans="1:2" x14ac:dyDescent="0.25">
      <c r="A783" t="s">
        <v>832</v>
      </c>
      <c r="B783" s="2" t="s">
        <v>833</v>
      </c>
    </row>
    <row r="784" spans="1:2" x14ac:dyDescent="0.25">
      <c r="A784" t="s">
        <v>834</v>
      </c>
      <c r="B784" s="2" t="s">
        <v>835</v>
      </c>
    </row>
    <row r="785" spans="1:2" x14ac:dyDescent="0.25">
      <c r="A785" t="s">
        <v>836</v>
      </c>
      <c r="B785" s="2" t="s">
        <v>837</v>
      </c>
    </row>
    <row r="786" spans="1:2" x14ac:dyDescent="0.25">
      <c r="A786" t="s">
        <v>838</v>
      </c>
      <c r="B786" s="2" t="s">
        <v>839</v>
      </c>
    </row>
    <row r="787" spans="1:2" x14ac:dyDescent="0.25">
      <c r="A787" s="4" t="s">
        <v>840</v>
      </c>
      <c r="B787" s="2" t="s">
        <v>841</v>
      </c>
    </row>
    <row r="788" spans="1:2" x14ac:dyDescent="0.25">
      <c r="A788" t="s">
        <v>664</v>
      </c>
      <c r="B788" s="2" t="s">
        <v>842</v>
      </c>
    </row>
    <row r="789" spans="1:2" x14ac:dyDescent="0.25">
      <c r="A789" t="s">
        <v>665</v>
      </c>
      <c r="B789" s="2" t="s">
        <v>843</v>
      </c>
    </row>
    <row r="790" spans="1:2" x14ac:dyDescent="0.25">
      <c r="A790" t="s">
        <v>666</v>
      </c>
      <c r="B790" s="2" t="s">
        <v>844</v>
      </c>
    </row>
    <row r="791" spans="1:2" x14ac:dyDescent="0.25">
      <c r="A791" t="s">
        <v>667</v>
      </c>
      <c r="B791" s="2" t="s">
        <v>845</v>
      </c>
    </row>
    <row r="792" spans="1:2" x14ac:dyDescent="0.25">
      <c r="A792" t="s">
        <v>668</v>
      </c>
      <c r="B792" s="2" t="s">
        <v>846</v>
      </c>
    </row>
    <row r="793" spans="1:2" x14ac:dyDescent="0.25">
      <c r="A793" s="4" t="s">
        <v>669</v>
      </c>
      <c r="B793" s="2" t="s">
        <v>847</v>
      </c>
    </row>
    <row r="794" spans="1:2" x14ac:dyDescent="0.25">
      <c r="A794" s="5" t="s">
        <v>670</v>
      </c>
      <c r="B794" s="2" t="s">
        <v>848</v>
      </c>
    </row>
    <row r="795" spans="1:2" x14ac:dyDescent="0.25">
      <c r="A795" t="s">
        <v>484</v>
      </c>
      <c r="B795" s="2" t="s">
        <v>849</v>
      </c>
    </row>
    <row r="796" spans="1:2" x14ac:dyDescent="0.25">
      <c r="A796" t="s">
        <v>485</v>
      </c>
      <c r="B796" s="2" t="s">
        <v>850</v>
      </c>
    </row>
    <row r="797" spans="1:2" x14ac:dyDescent="0.25">
      <c r="A797" t="s">
        <v>486</v>
      </c>
      <c r="B797" s="2" t="s">
        <v>851</v>
      </c>
    </row>
    <row r="798" spans="1:2" x14ac:dyDescent="0.25">
      <c r="A798" t="s">
        <v>671</v>
      </c>
      <c r="B798" s="2" t="s">
        <v>852</v>
      </c>
    </row>
    <row r="799" spans="1:2" x14ac:dyDescent="0.25">
      <c r="A799" t="s">
        <v>672</v>
      </c>
      <c r="B799" s="2" t="s">
        <v>853</v>
      </c>
    </row>
    <row r="800" spans="1:2" x14ac:dyDescent="0.25">
      <c r="A800" s="4" t="s">
        <v>673</v>
      </c>
      <c r="B800" s="2" t="s">
        <v>854</v>
      </c>
    </row>
    <row r="801" spans="1:2" x14ac:dyDescent="0.25">
      <c r="A801" s="5" t="s">
        <v>674</v>
      </c>
      <c r="B801" s="2" t="s">
        <v>855</v>
      </c>
    </row>
    <row r="802" spans="1:2" x14ac:dyDescent="0.25">
      <c r="A802" s="5" t="s">
        <v>675</v>
      </c>
      <c r="B802" s="2" t="s">
        <v>856</v>
      </c>
    </row>
    <row r="803" spans="1:2" x14ac:dyDescent="0.25">
      <c r="A803" s="5" t="s">
        <v>676</v>
      </c>
      <c r="B803" s="2" t="s">
        <v>857</v>
      </c>
    </row>
    <row r="804" spans="1:2" x14ac:dyDescent="0.25">
      <c r="A804" t="s">
        <v>487</v>
      </c>
      <c r="B804" s="1">
        <v>1</v>
      </c>
    </row>
    <row r="805" spans="1:2" x14ac:dyDescent="0.25">
      <c r="A805" t="s">
        <v>488</v>
      </c>
      <c r="B805" s="1">
        <v>2</v>
      </c>
    </row>
    <row r="806" spans="1:2" x14ac:dyDescent="0.25">
      <c r="A806" t="s">
        <v>489</v>
      </c>
      <c r="B806" s="1">
        <v>3</v>
      </c>
    </row>
    <row r="807" spans="1:2" x14ac:dyDescent="0.25">
      <c r="A807" t="s">
        <v>490</v>
      </c>
      <c r="B807" s="1">
        <v>4</v>
      </c>
    </row>
    <row r="808" spans="1:2" x14ac:dyDescent="0.25">
      <c r="A808" t="s">
        <v>858</v>
      </c>
      <c r="B808" s="1">
        <v>5</v>
      </c>
    </row>
    <row r="809" spans="1:2" x14ac:dyDescent="0.25">
      <c r="A809" t="s">
        <v>491</v>
      </c>
      <c r="B809" s="1">
        <v>6</v>
      </c>
    </row>
    <row r="810" spans="1:2" x14ac:dyDescent="0.25">
      <c r="A810" t="s">
        <v>492</v>
      </c>
      <c r="B810" s="1">
        <v>7</v>
      </c>
    </row>
    <row r="811" spans="1:2" x14ac:dyDescent="0.25">
      <c r="A811" t="s">
        <v>493</v>
      </c>
      <c r="B811" s="1">
        <v>9</v>
      </c>
    </row>
    <row r="812" spans="1:2" x14ac:dyDescent="0.25">
      <c r="A812" t="s">
        <v>859</v>
      </c>
      <c r="B812" s="1">
        <v>10</v>
      </c>
    </row>
    <row r="813" spans="1:2" x14ac:dyDescent="0.25">
      <c r="A813" t="s">
        <v>860</v>
      </c>
      <c r="B813" s="1">
        <v>11</v>
      </c>
    </row>
    <row r="814" spans="1:2" x14ac:dyDescent="0.25">
      <c r="A814" t="s">
        <v>861</v>
      </c>
      <c r="B814" s="1">
        <v>12</v>
      </c>
    </row>
    <row r="815" spans="1:2" x14ac:dyDescent="0.25">
      <c r="A815" t="s">
        <v>862</v>
      </c>
      <c r="B815" s="1">
        <v>13</v>
      </c>
    </row>
    <row r="816" spans="1:2" x14ac:dyDescent="0.25">
      <c r="A816" t="s">
        <v>494</v>
      </c>
      <c r="B816" s="1">
        <v>14</v>
      </c>
    </row>
    <row r="817" spans="1:2" x14ac:dyDescent="0.25">
      <c r="A817" t="s">
        <v>495</v>
      </c>
      <c r="B817" s="1">
        <v>15</v>
      </c>
    </row>
    <row r="818" spans="1:2" x14ac:dyDescent="0.25">
      <c r="A818" t="s">
        <v>496</v>
      </c>
      <c r="B818" s="1">
        <v>16</v>
      </c>
    </row>
    <row r="819" spans="1:2" x14ac:dyDescent="0.25">
      <c r="A819" t="s">
        <v>497</v>
      </c>
      <c r="B819" s="1">
        <v>17</v>
      </c>
    </row>
    <row r="820" spans="1:2" x14ac:dyDescent="0.25">
      <c r="A820" t="s">
        <v>498</v>
      </c>
      <c r="B820" s="1">
        <v>18</v>
      </c>
    </row>
    <row r="821" spans="1:2" x14ac:dyDescent="0.25">
      <c r="A821" t="s">
        <v>499</v>
      </c>
      <c r="B821" s="1">
        <v>19</v>
      </c>
    </row>
    <row r="822" spans="1:2" x14ac:dyDescent="0.25">
      <c r="A822" t="s">
        <v>500</v>
      </c>
      <c r="B822" s="1">
        <v>20</v>
      </c>
    </row>
    <row r="823" spans="1:2" x14ac:dyDescent="0.25">
      <c r="A823" t="s">
        <v>501</v>
      </c>
      <c r="B823" s="1">
        <v>21</v>
      </c>
    </row>
    <row r="824" spans="1:2" x14ac:dyDescent="0.25">
      <c r="A824" t="s">
        <v>502</v>
      </c>
      <c r="B824" s="1">
        <v>22</v>
      </c>
    </row>
    <row r="825" spans="1:2" x14ac:dyDescent="0.25">
      <c r="A825" t="s">
        <v>503</v>
      </c>
      <c r="B825" s="1">
        <v>23</v>
      </c>
    </row>
    <row r="826" spans="1:2" x14ac:dyDescent="0.25">
      <c r="A826" t="s">
        <v>504</v>
      </c>
      <c r="B826" s="1">
        <v>24</v>
      </c>
    </row>
    <row r="827" spans="1:2" x14ac:dyDescent="0.25">
      <c r="A827" t="s">
        <v>505</v>
      </c>
      <c r="B827" s="1">
        <v>25</v>
      </c>
    </row>
    <row r="828" spans="1:2" x14ac:dyDescent="0.25">
      <c r="A828" t="s">
        <v>506</v>
      </c>
      <c r="B828" s="1">
        <v>26</v>
      </c>
    </row>
    <row r="829" spans="1:2" x14ac:dyDescent="0.25">
      <c r="A829" t="s">
        <v>507</v>
      </c>
      <c r="B829" s="1">
        <v>27</v>
      </c>
    </row>
    <row r="830" spans="1:2" x14ac:dyDescent="0.25">
      <c r="A830" t="s">
        <v>508</v>
      </c>
      <c r="B830" s="1">
        <v>28</v>
      </c>
    </row>
    <row r="831" spans="1:2" x14ac:dyDescent="0.25">
      <c r="A831" t="s">
        <v>509</v>
      </c>
      <c r="B831" s="1">
        <v>30</v>
      </c>
    </row>
    <row r="832" spans="1:2" x14ac:dyDescent="0.25">
      <c r="A832" t="s">
        <v>863</v>
      </c>
      <c r="B832" s="1">
        <v>31</v>
      </c>
    </row>
    <row r="833" spans="1:2" x14ac:dyDescent="0.25">
      <c r="A833" t="s">
        <v>864</v>
      </c>
      <c r="B833" s="1">
        <v>32</v>
      </c>
    </row>
    <row r="834" spans="1:2" x14ac:dyDescent="0.25">
      <c r="A834" t="s">
        <v>865</v>
      </c>
      <c r="B834" s="1">
        <v>33</v>
      </c>
    </row>
    <row r="835" spans="1:2" x14ac:dyDescent="0.25">
      <c r="A835" t="s">
        <v>866</v>
      </c>
      <c r="B835" s="1">
        <v>34</v>
      </c>
    </row>
    <row r="836" spans="1:2" x14ac:dyDescent="0.25">
      <c r="A836" t="s">
        <v>510</v>
      </c>
      <c r="B836" s="1">
        <v>35</v>
      </c>
    </row>
    <row r="837" spans="1:2" x14ac:dyDescent="0.25">
      <c r="A837" t="s">
        <v>511</v>
      </c>
      <c r="B837" s="1">
        <v>36</v>
      </c>
    </row>
    <row r="838" spans="1:2" x14ac:dyDescent="0.25">
      <c r="A838" t="s">
        <v>512</v>
      </c>
      <c r="B838" s="1">
        <v>37</v>
      </c>
    </row>
    <row r="839" spans="1:2" x14ac:dyDescent="0.25">
      <c r="A839" t="s">
        <v>513</v>
      </c>
      <c r="B839" s="1">
        <v>38</v>
      </c>
    </row>
    <row r="840" spans="1:2" x14ac:dyDescent="0.25">
      <c r="A840" t="s">
        <v>514</v>
      </c>
      <c r="B840" s="1">
        <v>39</v>
      </c>
    </row>
    <row r="841" spans="1:2" x14ac:dyDescent="0.25">
      <c r="A841" t="s">
        <v>515</v>
      </c>
      <c r="B841" s="1">
        <v>40</v>
      </c>
    </row>
    <row r="842" spans="1:2" x14ac:dyDescent="0.25">
      <c r="A842" t="s">
        <v>516</v>
      </c>
      <c r="B842" s="1">
        <v>41</v>
      </c>
    </row>
    <row r="843" spans="1:2" x14ac:dyDescent="0.25">
      <c r="A843" t="s">
        <v>517</v>
      </c>
      <c r="B843" s="1">
        <v>42</v>
      </c>
    </row>
    <row r="844" spans="1:2" x14ac:dyDescent="0.25">
      <c r="A844" t="s">
        <v>518</v>
      </c>
      <c r="B844" s="1">
        <v>43</v>
      </c>
    </row>
    <row r="845" spans="1:2" x14ac:dyDescent="0.25">
      <c r="A845" t="s">
        <v>519</v>
      </c>
      <c r="B845" s="1">
        <v>44</v>
      </c>
    </row>
    <row r="846" spans="1:2" x14ac:dyDescent="0.25">
      <c r="A846" t="s">
        <v>520</v>
      </c>
      <c r="B846" s="1">
        <v>45</v>
      </c>
    </row>
    <row r="847" spans="1:2" x14ac:dyDescent="0.25">
      <c r="A847" t="s">
        <v>521</v>
      </c>
      <c r="B847" s="1">
        <v>46</v>
      </c>
    </row>
    <row r="848" spans="1:2" x14ac:dyDescent="0.25">
      <c r="A848" t="s">
        <v>522</v>
      </c>
      <c r="B848" s="1">
        <v>47</v>
      </c>
    </row>
    <row r="849" spans="1:2" x14ac:dyDescent="0.25">
      <c r="A849" t="s">
        <v>523</v>
      </c>
      <c r="B849" s="1">
        <v>48</v>
      </c>
    </row>
    <row r="850" spans="1:2" x14ac:dyDescent="0.25">
      <c r="A850" t="s">
        <v>524</v>
      </c>
      <c r="B850" s="1">
        <v>49</v>
      </c>
    </row>
    <row r="851" spans="1:2" x14ac:dyDescent="0.25">
      <c r="A851" t="s">
        <v>525</v>
      </c>
      <c r="B851" s="1">
        <v>51</v>
      </c>
    </row>
    <row r="852" spans="1:2" x14ac:dyDescent="0.25">
      <c r="A852" t="s">
        <v>526</v>
      </c>
      <c r="B852" s="1">
        <v>52</v>
      </c>
    </row>
    <row r="853" spans="1:2" x14ac:dyDescent="0.25">
      <c r="A853" t="s">
        <v>527</v>
      </c>
      <c r="B853" s="1">
        <v>53</v>
      </c>
    </row>
    <row r="854" spans="1:2" x14ac:dyDescent="0.25">
      <c r="A854" t="s">
        <v>528</v>
      </c>
      <c r="B854" s="1">
        <v>54</v>
      </c>
    </row>
    <row r="855" spans="1:2" x14ac:dyDescent="0.25">
      <c r="A855" t="s">
        <v>529</v>
      </c>
      <c r="B855" s="1">
        <v>55</v>
      </c>
    </row>
    <row r="856" spans="1:2" x14ac:dyDescent="0.25">
      <c r="A856" t="s">
        <v>530</v>
      </c>
      <c r="B856" s="1">
        <v>56</v>
      </c>
    </row>
    <row r="857" spans="1:2" x14ac:dyDescent="0.25">
      <c r="A857" t="s">
        <v>531</v>
      </c>
      <c r="B857" s="1">
        <v>57</v>
      </c>
    </row>
    <row r="858" spans="1:2" x14ac:dyDescent="0.25">
      <c r="A858" t="s">
        <v>532</v>
      </c>
      <c r="B858" s="1">
        <v>58</v>
      </c>
    </row>
    <row r="859" spans="1:2" x14ac:dyDescent="0.25">
      <c r="A859" t="s">
        <v>533</v>
      </c>
      <c r="B859" s="2" t="s">
        <v>867</v>
      </c>
    </row>
    <row r="860" spans="1:2" x14ac:dyDescent="0.25">
      <c r="A860" t="s">
        <v>534</v>
      </c>
      <c r="B860" s="2" t="s">
        <v>868</v>
      </c>
    </row>
    <row r="861" spans="1:2" x14ac:dyDescent="0.25">
      <c r="A861" t="s">
        <v>869</v>
      </c>
      <c r="B861" s="2" t="s">
        <v>870</v>
      </c>
    </row>
    <row r="862" spans="1:2" x14ac:dyDescent="0.25">
      <c r="A862" t="s">
        <v>871</v>
      </c>
      <c r="B862" s="2" t="s">
        <v>872</v>
      </c>
    </row>
    <row r="863" spans="1:2" x14ac:dyDescent="0.25">
      <c r="A863" t="s">
        <v>873</v>
      </c>
      <c r="B863" s="2" t="s">
        <v>874</v>
      </c>
    </row>
    <row r="864" spans="1:2" x14ac:dyDescent="0.25">
      <c r="A864" t="s">
        <v>875</v>
      </c>
      <c r="B864" s="2" t="s">
        <v>876</v>
      </c>
    </row>
    <row r="865" spans="1:2" x14ac:dyDescent="0.25">
      <c r="A865" t="s">
        <v>877</v>
      </c>
      <c r="B865" s="2" t="s">
        <v>878</v>
      </c>
    </row>
    <row r="866" spans="1:2" x14ac:dyDescent="0.25">
      <c r="A866" s="4" t="s">
        <v>879</v>
      </c>
      <c r="B866" s="2" t="s">
        <v>880</v>
      </c>
    </row>
    <row r="867" spans="1:2" x14ac:dyDescent="0.25">
      <c r="A867" t="s">
        <v>651</v>
      </c>
      <c r="B867" s="2" t="s">
        <v>881</v>
      </c>
    </row>
    <row r="868" spans="1:2" x14ac:dyDescent="0.25">
      <c r="A868" t="s">
        <v>652</v>
      </c>
      <c r="B868" s="2" t="s">
        <v>882</v>
      </c>
    </row>
    <row r="869" spans="1:2" x14ac:dyDescent="0.25">
      <c r="A869" t="s">
        <v>653</v>
      </c>
      <c r="B869" s="2" t="s">
        <v>883</v>
      </c>
    </row>
    <row r="870" spans="1:2" x14ac:dyDescent="0.25">
      <c r="A870" t="s">
        <v>654</v>
      </c>
      <c r="B870" s="2" t="s">
        <v>884</v>
      </c>
    </row>
    <row r="871" spans="1:2" x14ac:dyDescent="0.25">
      <c r="A871" t="s">
        <v>655</v>
      </c>
      <c r="B871" s="2" t="s">
        <v>885</v>
      </c>
    </row>
    <row r="872" spans="1:2" x14ac:dyDescent="0.25">
      <c r="A872" s="4" t="s">
        <v>656</v>
      </c>
      <c r="B872" s="2" t="s">
        <v>886</v>
      </c>
    </row>
    <row r="873" spans="1:2" x14ac:dyDescent="0.25">
      <c r="A873" s="5" t="s">
        <v>657</v>
      </c>
      <c r="B873" s="2" t="s">
        <v>887</v>
      </c>
    </row>
    <row r="874" spans="1:2" x14ac:dyDescent="0.25">
      <c r="A874" t="s">
        <v>535</v>
      </c>
      <c r="B874" s="2" t="s">
        <v>888</v>
      </c>
    </row>
    <row r="875" spans="1:2" x14ac:dyDescent="0.25">
      <c r="A875" t="s">
        <v>536</v>
      </c>
      <c r="B875" s="2" t="s">
        <v>889</v>
      </c>
    </row>
    <row r="876" spans="1:2" x14ac:dyDescent="0.25">
      <c r="A876" t="s">
        <v>537</v>
      </c>
      <c r="B876" s="2" t="s">
        <v>890</v>
      </c>
    </row>
    <row r="877" spans="1:2" x14ac:dyDescent="0.25">
      <c r="A877" t="s">
        <v>658</v>
      </c>
      <c r="B877" s="2" t="s">
        <v>891</v>
      </c>
    </row>
    <row r="878" spans="1:2" x14ac:dyDescent="0.25">
      <c r="A878" t="s">
        <v>659</v>
      </c>
      <c r="B878" s="2" t="s">
        <v>892</v>
      </c>
    </row>
    <row r="879" spans="1:2" x14ac:dyDescent="0.25">
      <c r="A879" s="4" t="s">
        <v>660</v>
      </c>
      <c r="B879" s="2" t="s">
        <v>893</v>
      </c>
    </row>
    <row r="880" spans="1:2" x14ac:dyDescent="0.25">
      <c r="A880" s="5" t="s">
        <v>661</v>
      </c>
      <c r="B880" s="2" t="s">
        <v>894</v>
      </c>
    </row>
    <row r="881" spans="1:2" x14ac:dyDescent="0.25">
      <c r="A881" s="5" t="s">
        <v>662</v>
      </c>
      <c r="B881" s="2" t="s">
        <v>895</v>
      </c>
    </row>
    <row r="882" spans="1:2" x14ac:dyDescent="0.25">
      <c r="A882" s="5" t="s">
        <v>663</v>
      </c>
      <c r="B882" s="2" t="s">
        <v>896</v>
      </c>
    </row>
  </sheetData>
  <sortState xmlns:xlrd2="http://schemas.microsoft.com/office/spreadsheetml/2017/richdata2" columnSort="1" ref="B4:R4">
    <sortCondition ref="B4:R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5FB6-1597-416E-AB48-B99AAE523859}">
  <sheetPr codeName="Sheet3"/>
  <dimension ref="A1:AB25"/>
  <sheetViews>
    <sheetView topLeftCell="B1" zoomScaleNormal="70" workbookViewId="0">
      <selection activeCell="AB23" sqref="AB23"/>
    </sheetView>
  </sheetViews>
  <sheetFormatPr defaultColWidth="8.85546875" defaultRowHeight="15" x14ac:dyDescent="0.25"/>
  <cols>
    <col min="1" max="1" width="15.42578125" hidden="1" customWidth="1"/>
    <col min="2" max="2" width="21.85546875" customWidth="1"/>
    <col min="3" max="3" width="17.28515625" hidden="1" customWidth="1"/>
    <col min="4" max="5" width="8.85546875" hidden="1" customWidth="1"/>
    <col min="6" max="6" width="15.42578125" customWidth="1"/>
    <col min="7" max="7" width="11.7109375" customWidth="1"/>
    <col min="8" max="9" width="12.7109375" customWidth="1"/>
    <col min="10" max="12" width="11.140625" customWidth="1"/>
    <col min="13" max="14" width="12.7109375" customWidth="1"/>
    <col min="15" max="17" width="11.140625" customWidth="1"/>
    <col min="18" max="19" width="9.7109375" customWidth="1"/>
    <col min="20" max="28" width="11.140625" customWidth="1"/>
  </cols>
  <sheetData>
    <row r="1" spans="1:28" ht="15.6" customHeight="1" thickBot="1" x14ac:dyDescent="0.3">
      <c r="A1" s="72" t="s">
        <v>1269</v>
      </c>
      <c r="B1" s="76" t="s">
        <v>1274</v>
      </c>
      <c r="C1" s="210" t="s">
        <v>1277</v>
      </c>
      <c r="D1" s="210"/>
      <c r="E1" s="75"/>
      <c r="F1" s="223" t="s">
        <v>1271</v>
      </c>
      <c r="G1" s="226" t="s">
        <v>1239</v>
      </c>
      <c r="H1" s="229" t="str">
        <f>Summary!B1&amp;" "&amp;Summary!C1</f>
        <v>Anchor:   GSCEM v2.0rc</v>
      </c>
      <c r="I1" s="230"/>
      <c r="J1" s="230"/>
      <c r="K1" s="230"/>
      <c r="L1" s="231"/>
      <c r="M1" s="217" t="str">
        <f>Summary!B2&amp;" "&amp;Summary!C2</f>
        <v>Test:   GSCEM predtrans</v>
      </c>
      <c r="N1" s="217"/>
      <c r="O1" s="217"/>
      <c r="P1" s="217"/>
      <c r="Q1" s="217"/>
      <c r="R1" s="238" t="s">
        <v>1310</v>
      </c>
      <c r="S1" s="239"/>
      <c r="T1" s="239"/>
      <c r="U1" s="239"/>
      <c r="V1" s="239"/>
      <c r="W1" s="239"/>
      <c r="X1" s="239"/>
      <c r="Y1" s="239"/>
      <c r="Z1" s="239"/>
      <c r="AA1" s="239"/>
      <c r="AB1" s="240"/>
    </row>
    <row r="2" spans="1:28" ht="15.95" customHeight="1" x14ac:dyDescent="0.25">
      <c r="A2" s="72"/>
      <c r="B2" s="77" t="s">
        <v>1355</v>
      </c>
      <c r="C2" s="73" t="s">
        <v>1273</v>
      </c>
      <c r="D2" s="74">
        <f ca="1">_xlfn.XMATCH(REPLACE(B2, 1, 6, ""), INDIRECT("'C1'!B5:B119")) - 1 + ROW('C1'!B5)</f>
        <v>5</v>
      </c>
      <c r="E2" s="74"/>
      <c r="F2" s="224"/>
      <c r="G2" s="227"/>
      <c r="H2" s="221" t="s">
        <v>1270</v>
      </c>
      <c r="I2" s="222"/>
      <c r="J2" s="211" t="s">
        <v>1282</v>
      </c>
      <c r="K2" s="211"/>
      <c r="L2" s="212"/>
      <c r="M2" s="213" t="s">
        <v>1270</v>
      </c>
      <c r="N2" s="214"/>
      <c r="O2" s="215" t="s">
        <v>1282</v>
      </c>
      <c r="P2" s="215"/>
      <c r="Q2" s="216"/>
      <c r="R2" s="232" t="s">
        <v>1307</v>
      </c>
      <c r="S2" s="233"/>
      <c r="T2" s="234" t="s">
        <v>1304</v>
      </c>
      <c r="U2" s="235"/>
      <c r="V2" s="236"/>
      <c r="W2" s="232" t="s">
        <v>1308</v>
      </c>
      <c r="X2" s="237"/>
      <c r="Y2" s="237"/>
      <c r="Z2" s="237" t="s">
        <v>1309</v>
      </c>
      <c r="AA2" s="237"/>
      <c r="AB2" s="233"/>
    </row>
    <row r="3" spans="1:28" ht="29.25" thickBot="1" x14ac:dyDescent="0.3">
      <c r="A3" t="s">
        <v>1324</v>
      </c>
      <c r="C3" s="73" t="s">
        <v>1285</v>
      </c>
      <c r="D3" s="9" t="s">
        <v>1292</v>
      </c>
      <c r="E3" s="9"/>
      <c r="F3" s="225"/>
      <c r="G3" s="228"/>
      <c r="H3" s="123" t="s">
        <v>1283</v>
      </c>
      <c r="I3" s="124" t="s">
        <v>1272</v>
      </c>
      <c r="J3" s="112" t="s">
        <v>1261</v>
      </c>
      <c r="K3" s="112" t="s">
        <v>1262</v>
      </c>
      <c r="L3" s="113" t="s">
        <v>1225</v>
      </c>
      <c r="M3" s="125" t="s">
        <v>1283</v>
      </c>
      <c r="N3" s="126" t="s">
        <v>1272</v>
      </c>
      <c r="O3" s="114" t="s">
        <v>1261</v>
      </c>
      <c r="P3" s="114" t="s">
        <v>1262</v>
      </c>
      <c r="Q3" s="115" t="s">
        <v>1225</v>
      </c>
      <c r="R3" s="127" t="s">
        <v>1311</v>
      </c>
      <c r="S3" s="178" t="s">
        <v>1272</v>
      </c>
      <c r="T3" s="177" t="s">
        <v>1261</v>
      </c>
      <c r="U3" s="116" t="s">
        <v>1262</v>
      </c>
      <c r="V3" s="152" t="s">
        <v>1225</v>
      </c>
      <c r="W3" s="174" t="s">
        <v>1261</v>
      </c>
      <c r="X3" s="175" t="s">
        <v>1262</v>
      </c>
      <c r="Y3" s="175" t="s">
        <v>1225</v>
      </c>
      <c r="Z3" s="175" t="s">
        <v>1261</v>
      </c>
      <c r="AA3" s="175" t="s">
        <v>1262</v>
      </c>
      <c r="AB3" s="176" t="s">
        <v>1225</v>
      </c>
    </row>
    <row r="4" spans="1:28" ht="16.5" thickBot="1" x14ac:dyDescent="0.3">
      <c r="A4" t="s">
        <v>1325</v>
      </c>
      <c r="C4" s="73" t="s">
        <v>1286</v>
      </c>
      <c r="D4" s="9" t="s">
        <v>1284</v>
      </c>
      <c r="E4" s="9"/>
      <c r="F4" s="218" t="str">
        <f>B2</f>
        <v>cat1: bartender</v>
      </c>
      <c r="G4" s="128" t="s">
        <v>45</v>
      </c>
      <c r="H4" s="129">
        <f ca="1">IF(INDIRECT($D$3&amp;($D$2))="",NA(),INDIRECT($D$3&amp;($D$2)))</f>
        <v>74595888</v>
      </c>
      <c r="I4" s="130">
        <f ca="1">IF(INDIRECT($D$4&amp;($D$2))="",NA(),INDIRECT($D$4&amp;($D$2)))</f>
        <v>63918728</v>
      </c>
      <c r="J4" s="131">
        <f ca="1">IF(INDIRECT($D$7&amp;($D$2))="",NA(),INDIRECT($D$7&amp;($D$2)))</f>
        <v>38.160235663340302</v>
      </c>
      <c r="K4" s="132">
        <f ca="1">IF(INDIRECT($D$8&amp;($D$2))="",NA(),INDIRECT($D$8&amp;($D$2)))</f>
        <v>42.8351566267728</v>
      </c>
      <c r="L4" s="133">
        <f ca="1">IF(INDIRECT($D$9&amp;($D$2))="",NA(),INDIRECT($D$9&amp;($D$2)))</f>
        <v>0.99203969490223798</v>
      </c>
      <c r="M4" s="129" t="e">
        <f ca="1">IF(INDIRECT($D$5&amp;($D$2))="",NA(),INDIRECT($D$5&amp;($D$2)))</f>
        <v>#N/A</v>
      </c>
      <c r="N4" s="130" t="e">
        <f ca="1">IF(INDIRECT($D$6&amp;($D$2))="",NA(),INDIRECT($D$6&amp;($D$2)))</f>
        <v>#N/A</v>
      </c>
      <c r="O4" s="131" t="e">
        <f ca="1">IF(INDIRECT($D$10&amp;($D$2))="",NA(),INDIRECT($D$10&amp;($D$2)))</f>
        <v>#N/A</v>
      </c>
      <c r="P4" s="132" t="e">
        <f ca="1">IF(INDIRECT($D$11&amp;($D$2))="",NA(),INDIRECT($D$11&amp;($D$2)))</f>
        <v>#N/A</v>
      </c>
      <c r="Q4" s="134" t="e">
        <f ca="1">IF(INDIRECT($D$12&amp;($D$2))="",NA(),INDIRECT($D$12&amp;($D$2)))</f>
        <v>#N/A</v>
      </c>
      <c r="R4" s="135" t="str">
        <f ca="1">IFERROR(INDIRECT("M4")/INDIRECT("H4")-1,"")</f>
        <v/>
      </c>
      <c r="S4" s="163" t="str">
        <f ca="1">IFERROR(INDIRECT("N4")/INDIRECT("I4")-1,"")</f>
        <v/>
      </c>
      <c r="T4" s="120" t="e">
        <f ca="1">IFERROR(INDIRECT("O4")-INDIRECT("J4"),NA())</f>
        <v>#N/A</v>
      </c>
      <c r="U4" s="120" t="e">
        <f ca="1">IFERROR(INDIRECT("P4")-INDIRECT("K4"),NA())</f>
        <v>#N/A</v>
      </c>
      <c r="V4" s="119" t="e">
        <f ca="1">IFERROR(INDIRECT("Q4")-INDIRECT("L4"),NA())</f>
        <v>#N/A</v>
      </c>
      <c r="W4" s="153" t="str">
        <f ca="1">bdRateHermiteNew(INDIRECT("H4:H8"),INDIRECT("J4:J8"),INDIRECT("M4:M8"),INDIRECT("O4:O8"))</f>
        <v>No Test</v>
      </c>
      <c r="X4" s="136" t="str">
        <f ca="1">bdRateHermiteNew(INDIRECT("H4:H8"),INDIRECT("K4:K8"),INDIRECT("M4:M8"),INDIRECT("P4:P8"))</f>
        <v>No Test</v>
      </c>
      <c r="Y4" s="137" t="str">
        <f ca="1">bdRateHermiteNew(INDIRECT("H4:H8"),INDIRECT("L4:L8"),INDIRECT("M4:M8"),INDIRECT("Q4:Q8"))</f>
        <v>No Test</v>
      </c>
      <c r="Z4" s="136" t="str">
        <f ca="1">bdRateHermiteNew(INDIRECT("I4:I8"),INDIRECT("J4:J8"),INDIRECT("N4:N8"),INDIRECT("O4:O8"))</f>
        <v>No Test</v>
      </c>
      <c r="AA4" s="136" t="str">
        <f ca="1">bdRateHermiteNew(INDIRECT("I4:I8"),INDIRECT("K4:K8"),INDIRECT("N4:N8"),INDIRECT("P4:P8"))</f>
        <v>No Test</v>
      </c>
      <c r="AB4" s="138" t="str">
        <f ca="1">bdRateHermiteNew(INDIRECT("I4:I8"),INDIRECT("L4:L8"),INDIRECT("N4:N8"),INDIRECT("Q4:Q8"))</f>
        <v>No Test</v>
      </c>
    </row>
    <row r="5" spans="1:28" ht="15.75" x14ac:dyDescent="0.25">
      <c r="A5" t="s">
        <v>1348</v>
      </c>
      <c r="C5" s="73" t="s">
        <v>1287</v>
      </c>
      <c r="D5" s="9" t="s">
        <v>1293</v>
      </c>
      <c r="E5" s="9"/>
      <c r="F5" s="219"/>
      <c r="G5" s="128" t="s">
        <v>46</v>
      </c>
      <c r="H5" s="139">
        <f ca="1">IF(INDIRECT($D$3&amp;($D$2+1))="",NA(),INDIRECT($D$3&amp;($D$2+1)))</f>
        <v>102012448</v>
      </c>
      <c r="I5" s="130">
        <f ca="1">IF(INDIRECT($D$4&amp;($D$2+1))="",NA(),INDIRECT($D$4&amp;($D$2+1)))</f>
        <v>91335288</v>
      </c>
      <c r="J5" s="140">
        <f ca="1">IF(INDIRECT($D$7&amp;($D$2+1))="",NA(),INDIRECT($D$7&amp;($D$2+1)))</f>
        <v>43.811051392299902</v>
      </c>
      <c r="K5" s="141">
        <f ca="1">IF(INDIRECT($D$8&amp;($D$2+1))="",NA(),INDIRECT($D$8&amp;($D$2+1)))</f>
        <v>48.515169197478997</v>
      </c>
      <c r="L5" s="133">
        <f ca="1">IF(INDIRECT($D$9&amp;($D$2+1))="",NA(),INDIRECT($D$9&amp;($D$2+1)))</f>
        <v>0.997020939461714</v>
      </c>
      <c r="M5" s="139" t="e">
        <f ca="1">IF(INDIRECT($D$5&amp;($D$2+1))="",NA(),INDIRECT($D$5&amp;($D$2+1)))</f>
        <v>#N/A</v>
      </c>
      <c r="N5" s="130" t="e">
        <f ca="1">IF(INDIRECT($D$6&amp;($D$2+1))="",NA(),INDIRECT($D$6&amp;($D$2+1)))</f>
        <v>#N/A</v>
      </c>
      <c r="O5" s="140" t="e">
        <f ca="1">IF(INDIRECT($D$10&amp;($D$2+1))="",NA(),INDIRECT($D$10&amp;($D$2+1)))</f>
        <v>#N/A</v>
      </c>
      <c r="P5" s="141" t="e">
        <f ca="1">IF(INDIRECT($D$11&amp;($D$2+1))="",NA(),INDIRECT($D$11&amp;($D$2+1)))</f>
        <v>#N/A</v>
      </c>
      <c r="Q5" s="134" t="e">
        <f ca="1">IF(INDIRECT($D$12&amp;($D$2+1))="",NA(),INDIRECT($D$12&amp;($D$2+1)))</f>
        <v>#N/A</v>
      </c>
      <c r="R5" s="142" t="str">
        <f ca="1">IFERROR(INDIRECT("M5")/INDIRECT("H5")-1,"")</f>
        <v/>
      </c>
      <c r="S5" s="164" t="str">
        <f ca="1">IFERROR(INDIRECT("N5")/INDIRECT("I5")-1,"")</f>
        <v/>
      </c>
      <c r="T5" s="121" t="e">
        <f ca="1">IFERROR(INDIRECT("O5")-INDIRECT("J5"),NA())</f>
        <v>#N/A</v>
      </c>
      <c r="U5" s="121" t="e">
        <f ca="1">IFERROR(INDIRECT("P5")-INDIRECT("K5"),NA())</f>
        <v>#N/A</v>
      </c>
      <c r="V5" s="117" t="e">
        <f ca="1">IFERROR(INDIRECT("Q5")-INDIRECT("L5"),NA())</f>
        <v>#N/A</v>
      </c>
      <c r="W5" s="17"/>
    </row>
    <row r="6" spans="1:28" ht="15.75" x14ac:dyDescent="0.25">
      <c r="A6" t="s">
        <v>1326</v>
      </c>
      <c r="C6" s="73" t="s">
        <v>1288</v>
      </c>
      <c r="D6" s="9" t="s">
        <v>1291</v>
      </c>
      <c r="E6" s="9"/>
      <c r="F6" s="219"/>
      <c r="G6" s="128" t="s">
        <v>47</v>
      </c>
      <c r="H6" s="139">
        <f ca="1">IF(INDIRECT($D$3&amp;($D$2+2))="",NA(),INDIRECT($D$3&amp;($D$2+2)))</f>
        <v>134259176</v>
      </c>
      <c r="I6" s="130">
        <f ca="1">IF(INDIRECT($D$4&amp;($D$2+2))="",NA(),INDIRECT($D$4&amp;($D$2+2)))</f>
        <v>123582016</v>
      </c>
      <c r="J6" s="140">
        <f ca="1">IF(INDIRECT($D$7&amp;($D$2+2))="",NA(),INDIRECT($D$7&amp;($D$2+2)))</f>
        <v>48.799706223928197</v>
      </c>
      <c r="K6" s="141">
        <f ca="1">IF(INDIRECT($D$8&amp;($D$2+2))="",NA(),INDIRECT($D$8&amp;($D$2+2)))</f>
        <v>53.304543786513896</v>
      </c>
      <c r="L6" s="133">
        <f ca="1">IF(INDIRECT($D$9&amp;($D$2+2))="",NA(),INDIRECT($D$9&amp;($D$2+2)))</f>
        <v>0.99840739181776195</v>
      </c>
      <c r="M6" s="139" t="e">
        <f ca="1">IF(INDIRECT($D$5&amp;($D$2+2))="",NA(),INDIRECT($D$5&amp;($D$2+2)))</f>
        <v>#N/A</v>
      </c>
      <c r="N6" s="130" t="e">
        <f ca="1">IF(INDIRECT($D$6&amp;($D$2+2))="",NA(),INDIRECT($D$6&amp;($D$2+2)))</f>
        <v>#N/A</v>
      </c>
      <c r="O6" s="140" t="e">
        <f ca="1">IF(INDIRECT($D$10&amp;($D$2+2))="",NA(),INDIRECT($D$10&amp;($D$2+2)))</f>
        <v>#N/A</v>
      </c>
      <c r="P6" s="141" t="e">
        <f ca="1">IF(INDIRECT($D$11&amp;($D$2+2))="",NA(),INDIRECT($D$11&amp;($D$2+2)))</f>
        <v>#N/A</v>
      </c>
      <c r="Q6" s="134" t="e">
        <f ca="1">IF(INDIRECT($D$12&amp;($D$2+2))="",NA(),INDIRECT($D$12&amp;($D$2+2)))</f>
        <v>#N/A</v>
      </c>
      <c r="R6" s="142" t="str">
        <f ca="1">IFERROR(INDIRECT("M6")/INDIRECT("H6")-1,"")</f>
        <v/>
      </c>
      <c r="S6" s="164" t="str">
        <f ca="1">IFERROR(INDIRECT("N6")/INDIRECT("I6")-1,"")</f>
        <v/>
      </c>
      <c r="T6" s="121" t="e">
        <f ca="1">IFERROR(INDIRECT("O6")-INDIRECT("J6"),NA())</f>
        <v>#N/A</v>
      </c>
      <c r="U6" s="121" t="e">
        <f ca="1">IFERROR(INDIRECT("P6")-INDIRECT("K6"),NA())</f>
        <v>#N/A</v>
      </c>
      <c r="V6" s="117" t="e">
        <f ca="1">IFERROR(INDIRECT("Q6")-INDIRECT("L6"),NA())</f>
        <v>#N/A</v>
      </c>
      <c r="W6" s="17"/>
    </row>
    <row r="7" spans="1:28" ht="15.75" x14ac:dyDescent="0.25">
      <c r="A7" t="s">
        <v>1327</v>
      </c>
      <c r="C7" s="73" t="s">
        <v>1295</v>
      </c>
      <c r="D7" s="9" t="s">
        <v>1294</v>
      </c>
      <c r="E7" s="9"/>
      <c r="F7" s="219"/>
      <c r="G7" s="128" t="s">
        <v>48</v>
      </c>
      <c r="H7" s="139">
        <f ca="1">IF(INDIRECT($D$3&amp;($D$2+3))="",NA(),INDIRECT($D$3&amp;($D$2+3)))</f>
        <v>168416544</v>
      </c>
      <c r="I7" s="130">
        <f ca="1">IF(INDIRECT($D$4&amp;($D$2+3))="",NA(),INDIRECT($D$4&amp;($D$2+3)))</f>
        <v>157739496</v>
      </c>
      <c r="J7" s="140">
        <f ca="1">IF(INDIRECT($D$7&amp;($D$2+3))="",NA(),INDIRECT($D$7&amp;($D$2+3)))</f>
        <v>51.998604951709702</v>
      </c>
      <c r="K7" s="141">
        <f ca="1">IF(INDIRECT($D$8&amp;($D$2+3))="",NA(),INDIRECT($D$8&amp;($D$2+3)))</f>
        <v>56.189003253164202</v>
      </c>
      <c r="L7" s="133">
        <f ca="1">IF(INDIRECT($D$9&amp;($D$2+3))="",NA(),INDIRECT($D$9&amp;($D$2+3)))</f>
        <v>0.99882803329147596</v>
      </c>
      <c r="M7" s="139" t="e">
        <f ca="1">IF(INDIRECT($D$5&amp;($D$2+3))="",NA(),INDIRECT($D$5&amp;($D$2+3)))</f>
        <v>#N/A</v>
      </c>
      <c r="N7" s="130" t="e">
        <f ca="1">IF(INDIRECT($D$6&amp;($D$2+3))="",NA(),INDIRECT($D$6&amp;($D$2+3)))</f>
        <v>#N/A</v>
      </c>
      <c r="O7" s="140" t="e">
        <f ca="1">IF(INDIRECT($D$10&amp;($D$2+3))="",NA(),INDIRECT($D$10&amp;($D$2+3)))</f>
        <v>#N/A</v>
      </c>
      <c r="P7" s="141" t="e">
        <f ca="1">IF(INDIRECT($D$11&amp;($D$2+3))="",NA(),INDIRECT($D$11&amp;($D$2+3)))</f>
        <v>#N/A</v>
      </c>
      <c r="Q7" s="134" t="e">
        <f ca="1">IF(INDIRECT($D$12&amp;($D$2+3))="",NA(),INDIRECT($D$12&amp;($D$2+3)))</f>
        <v>#N/A</v>
      </c>
      <c r="R7" s="142" t="str">
        <f ca="1">IFERROR(INDIRECT("M7")/INDIRECT("H7")-1,"")</f>
        <v/>
      </c>
      <c r="S7" s="164" t="str">
        <f ca="1">IFERROR(INDIRECT("N7")/INDIRECT("I7")-1,"")</f>
        <v/>
      </c>
      <c r="T7" s="121" t="e">
        <f ca="1">IFERROR(INDIRECT("O7")-INDIRECT("J7"),NA())</f>
        <v>#N/A</v>
      </c>
      <c r="U7" s="121" t="e">
        <f ca="1">IFERROR(INDIRECT("P7")-INDIRECT("K7"),NA())</f>
        <v>#N/A</v>
      </c>
      <c r="V7" s="117" t="e">
        <f ca="1">IFERROR(INDIRECT("Q7")-INDIRECT("L7"),NA())</f>
        <v>#N/A</v>
      </c>
      <c r="W7" s="17"/>
    </row>
    <row r="8" spans="1:28" ht="16.5" thickBot="1" x14ac:dyDescent="0.3">
      <c r="A8" t="s">
        <v>1328</v>
      </c>
      <c r="C8" s="73" t="s">
        <v>1296</v>
      </c>
      <c r="D8" s="9" t="s">
        <v>1298</v>
      </c>
      <c r="F8" s="220"/>
      <c r="G8" s="143" t="s">
        <v>1240</v>
      </c>
      <c r="H8" s="144">
        <f ca="1">IF(INDIRECT($D$3&amp;($D$2+4))="",NA(),INDIRECT($D$3&amp;($D$2+4)))</f>
        <v>199840464</v>
      </c>
      <c r="I8" s="145">
        <f ca="1">IF(INDIRECT($D$4&amp;($D$2+4))="",NA(),INDIRECT($D$4&amp;($D$2+4)))</f>
        <v>189163416</v>
      </c>
      <c r="J8" s="146">
        <f ca="1">IF(INDIRECT($D$7&amp;($D$2+4))="",NA(),INDIRECT($D$7&amp;($D$2+4)))</f>
        <v>53.876176186295901</v>
      </c>
      <c r="K8" s="147">
        <f ca="1">IF(INDIRECT($D$8&amp;($D$2+4))="",NA(),INDIRECT($D$8&amp;($D$2+4)))</f>
        <v>57.807478349336797</v>
      </c>
      <c r="L8" s="148">
        <f ca="1">IF(INDIRECT($D$9&amp;($D$2+4))="",NA(),INDIRECT($D$9&amp;($D$2+4)))</f>
        <v>0.99906901151757099</v>
      </c>
      <c r="M8" s="144" t="e">
        <f ca="1">IF(INDIRECT($D$5&amp;($D$2+4))="",NA(),INDIRECT($D$5&amp;($D$2+4)))</f>
        <v>#N/A</v>
      </c>
      <c r="N8" s="145" t="e">
        <f ca="1">IF(INDIRECT($D$6&amp;($D$2+4))="",NA(),INDIRECT($D$6&amp;($D$2+4)))</f>
        <v>#N/A</v>
      </c>
      <c r="O8" s="146" t="e">
        <f ca="1">IF(INDIRECT($D$10&amp;($D$2+4))="",NA(),INDIRECT($D$10&amp;($D$2+4)))</f>
        <v>#N/A</v>
      </c>
      <c r="P8" s="147" t="e">
        <f ca="1">IF(INDIRECT($D$11&amp;($D$2+4))="",NA(),INDIRECT($D$11&amp;($D$2+4)))</f>
        <v>#N/A</v>
      </c>
      <c r="Q8" s="149" t="e">
        <f ca="1">IF(INDIRECT($D$12&amp;($D$2+4))="",NA(),INDIRECT($D$12&amp;($D$2+4)))</f>
        <v>#N/A</v>
      </c>
      <c r="R8" s="150" t="str">
        <f ca="1">IFERROR(INDIRECT("M8")/INDIRECT("H8")-1,"")</f>
        <v/>
      </c>
      <c r="S8" s="165" t="str">
        <f ca="1">IFERROR(INDIRECT("N8")/INDIRECT("I8")-1,"")</f>
        <v/>
      </c>
      <c r="T8" s="122" t="e">
        <f ca="1">IFERROR(INDIRECT("O8")-INDIRECT("J8"),NA())</f>
        <v>#N/A</v>
      </c>
      <c r="U8" s="122" t="e">
        <f ca="1">IFERROR(INDIRECT("P8")-INDIRECT("K8"),NA())</f>
        <v>#N/A</v>
      </c>
      <c r="V8" s="118" t="e">
        <f ca="1">IFERROR(INDIRECT("Q8")-INDIRECT("L8"),NA())</f>
        <v>#N/A</v>
      </c>
      <c r="W8" s="151"/>
    </row>
    <row r="9" spans="1:28" ht="15.75" x14ac:dyDescent="0.25">
      <c r="A9" t="s">
        <v>1329</v>
      </c>
      <c r="C9" s="73" t="s">
        <v>1297</v>
      </c>
      <c r="D9" s="9" t="s">
        <v>1289</v>
      </c>
    </row>
    <row r="10" spans="1:28" ht="15.75" x14ac:dyDescent="0.25">
      <c r="A10" t="s">
        <v>1349</v>
      </c>
      <c r="C10" s="73" t="s">
        <v>1299</v>
      </c>
      <c r="D10" s="9" t="s">
        <v>1302</v>
      </c>
    </row>
    <row r="11" spans="1:28" ht="15.75" x14ac:dyDescent="0.25">
      <c r="A11" t="s">
        <v>1350</v>
      </c>
      <c r="C11" s="73" t="s">
        <v>1300</v>
      </c>
      <c r="D11" s="9" t="s">
        <v>1303</v>
      </c>
    </row>
    <row r="12" spans="1:28" ht="15.75" x14ac:dyDescent="0.25">
      <c r="A12" t="s">
        <v>1351</v>
      </c>
      <c r="C12" s="73" t="s">
        <v>1301</v>
      </c>
      <c r="D12" s="9" t="s">
        <v>1290</v>
      </c>
    </row>
    <row r="13" spans="1:28" x14ac:dyDescent="0.25">
      <c r="A13" t="s">
        <v>1352</v>
      </c>
    </row>
    <row r="14" spans="1:28" x14ac:dyDescent="0.25">
      <c r="A14" t="s">
        <v>1353</v>
      </c>
    </row>
    <row r="15" spans="1:28" x14ac:dyDescent="0.25">
      <c r="A15" t="s">
        <v>1354</v>
      </c>
    </row>
    <row r="16" spans="1:28" x14ac:dyDescent="0.25">
      <c r="A16" t="s">
        <v>1330</v>
      </c>
    </row>
    <row r="17" spans="1:1" x14ac:dyDescent="0.25">
      <c r="A17" t="s">
        <v>1331</v>
      </c>
    </row>
    <row r="18" spans="1:1" x14ac:dyDescent="0.25">
      <c r="A18" t="s">
        <v>1332</v>
      </c>
    </row>
    <row r="19" spans="1:1" x14ac:dyDescent="0.25">
      <c r="A19" t="s">
        <v>1333</v>
      </c>
    </row>
    <row r="20" spans="1:1" x14ac:dyDescent="0.25">
      <c r="A20" t="s">
        <v>1334</v>
      </c>
    </row>
    <row r="21" spans="1:1" x14ac:dyDescent="0.25">
      <c r="A21" t="s">
        <v>1335</v>
      </c>
    </row>
    <row r="22" spans="1:1" x14ac:dyDescent="0.25">
      <c r="A22" t="s">
        <v>1336</v>
      </c>
    </row>
    <row r="23" spans="1:1" x14ac:dyDescent="0.25">
      <c r="A23" t="s">
        <v>1337</v>
      </c>
    </row>
    <row r="24" spans="1:1" x14ac:dyDescent="0.25">
      <c r="A24" t="s">
        <v>1338</v>
      </c>
    </row>
    <row r="25" spans="1:1" x14ac:dyDescent="0.25">
      <c r="A25" t="s">
        <v>1339</v>
      </c>
    </row>
  </sheetData>
  <mergeCells count="15">
    <mergeCell ref="R2:S2"/>
    <mergeCell ref="T2:V2"/>
    <mergeCell ref="W2:Y2"/>
    <mergeCell ref="Z2:AB2"/>
    <mergeCell ref="R1:AB1"/>
    <mergeCell ref="F4:F8"/>
    <mergeCell ref="H2:I2"/>
    <mergeCell ref="F1:F3"/>
    <mergeCell ref="G1:G3"/>
    <mergeCell ref="H1:L1"/>
    <mergeCell ref="C1:D1"/>
    <mergeCell ref="J2:L2"/>
    <mergeCell ref="M2:N2"/>
    <mergeCell ref="O2:Q2"/>
    <mergeCell ref="M1:Q1"/>
  </mergeCells>
  <phoneticPr fontId="2" type="noConversion"/>
  <conditionalFormatting sqref="R4:S8">
    <cfRule type="containsBlanks" dxfId="537" priority="7">
      <formula>LEN(TRIM(R4))=0</formula>
    </cfRule>
    <cfRule type="cellIs" dxfId="536" priority="25" operator="greaterThan">
      <formula>0.03</formula>
    </cfRule>
    <cfRule type="cellIs" dxfId="535" priority="26" stopIfTrue="1" operator="lessThan">
      <formula>-0.03</formula>
    </cfRule>
  </conditionalFormatting>
  <conditionalFormatting sqref="T4:V8">
    <cfRule type="cellIs" dxfId="534" priority="21" stopIfTrue="1" operator="lessThan">
      <formula>-0.01</formula>
    </cfRule>
    <cfRule type="cellIs" dxfId="533" priority="22" stopIfTrue="1" operator="greaterThan">
      <formula>0.01</formula>
    </cfRule>
  </conditionalFormatting>
  <conditionalFormatting sqref="W8">
    <cfRule type="cellIs" dxfId="532" priority="11" operator="lessThan">
      <formula>-0.03</formula>
    </cfRule>
    <cfRule type="cellIs" dxfId="531" priority="12" stopIfTrue="1" operator="greaterThan">
      <formula>0.03</formula>
    </cfRule>
  </conditionalFormatting>
  <conditionalFormatting sqref="W4:AB4">
    <cfRule type="expression" dxfId="530" priority="1">
      <formula>OR(W4="no anchor", W4="no test", W4="Points &lt; 4")</formula>
    </cfRule>
    <cfRule type="containsBlanks" dxfId="529" priority="2">
      <formula>LEN(TRIM(W4))=0</formula>
    </cfRule>
    <cfRule type="cellIs" dxfId="528" priority="3" operator="greaterThan">
      <formula>0.03</formula>
    </cfRule>
    <cfRule type="cellIs" dxfId="527" priority="4" stopIfTrue="1" operator="lessThan">
      <formula>-0.03</formula>
    </cfRule>
  </conditionalFormatting>
  <dataValidations count="2">
    <dataValidation type="list" allowBlank="1" showInputMessage="1" showErrorMessage="1" sqref="B8 B5" xr:uid="{7CEB952C-85E7-4D7B-A10A-5E7B2BB7790A}">
      <formula1>#REF!</formula1>
    </dataValidation>
    <dataValidation type="list" showInputMessage="1" showErrorMessage="1" sqref="B2" xr:uid="{92AF57AD-6F5E-47FC-8912-703BF503A9F4}">
      <formula1>$A$3:$A$44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outlinePr summaryBelow="0"/>
  </sheetPr>
  <dimension ref="A1:BL119"/>
  <sheetViews>
    <sheetView zoomScale="90" zoomScaleNormal="9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Y5" sqref="Y5:AR119"/>
    </sheetView>
  </sheetViews>
  <sheetFormatPr defaultColWidth="8.85546875" defaultRowHeight="15" outlineLevelRow="1" x14ac:dyDescent="0.25"/>
  <cols>
    <col min="1" max="1" width="10.140625" customWidth="1"/>
    <col min="2" max="2" width="10.85546875" customWidth="1"/>
    <col min="3" max="3" width="8.85546875" customWidth="1"/>
    <col min="4" max="4" width="11.7109375" style="20" customWidth="1"/>
    <col min="5" max="5" width="11.7109375" style="16" customWidth="1"/>
    <col min="6" max="6" width="13.7109375" style="16" customWidth="1"/>
    <col min="7" max="7" width="11.85546875" style="16" customWidth="1"/>
    <col min="8" max="8" width="13.7109375" style="16" customWidth="1"/>
    <col min="9" max="12" width="11.7109375" style="16" customWidth="1"/>
    <col min="13" max="13" width="10.7109375" style="16" customWidth="1"/>
    <col min="14" max="15" width="11.140625" style="16" customWidth="1"/>
    <col min="16" max="16" width="11.42578125" style="181" customWidth="1"/>
    <col min="17" max="18" width="11.42578125" customWidth="1"/>
    <col min="19" max="24" width="9.140625" customWidth="1"/>
    <col min="25" max="25" width="11.7109375" style="18" customWidth="1"/>
    <col min="26" max="26" width="13.7109375" style="18" customWidth="1"/>
    <col min="27" max="27" width="12.140625" style="18" customWidth="1"/>
    <col min="28" max="28" width="13.7109375" style="18" customWidth="1"/>
    <col min="29" max="32" width="11.7109375" style="18" customWidth="1"/>
    <col min="33" max="35" width="11.140625" style="18" customWidth="1"/>
    <col min="36" max="38" width="11.42578125" customWidth="1"/>
    <col min="39" max="44" width="9.140625" customWidth="1"/>
    <col min="45" max="45" width="12" style="12" customWidth="1"/>
    <col min="46" max="48" width="12" style="4" customWidth="1"/>
    <col min="49" max="50" width="12" customWidth="1"/>
    <col min="51" max="51" width="16.85546875" bestFit="1" customWidth="1"/>
    <col min="52" max="52" width="13.7109375" customWidth="1"/>
    <col min="53" max="53" width="11.7109375" customWidth="1"/>
    <col min="54" max="54" width="13.7109375" customWidth="1"/>
    <col min="55" max="58" width="10.7109375" customWidth="1"/>
    <col min="59" max="61" width="9.7109375" customWidth="1"/>
    <col min="62" max="64" width="12" customWidth="1"/>
  </cols>
  <sheetData>
    <row r="1" spans="1:64" ht="14.45" customHeight="1" thickBot="1" x14ac:dyDescent="0.3">
      <c r="A1" s="278" t="s">
        <v>1266</v>
      </c>
      <c r="B1" s="278"/>
      <c r="C1" s="278"/>
      <c r="D1" s="279"/>
      <c r="E1" s="280" t="s">
        <v>1237</v>
      </c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2"/>
      <c r="Y1" s="270" t="s">
        <v>1238</v>
      </c>
      <c r="Z1" s="271"/>
      <c r="AA1" s="271"/>
      <c r="AB1" s="271"/>
      <c r="AC1" s="271"/>
      <c r="AD1" s="271"/>
      <c r="AE1" s="271"/>
      <c r="AF1" s="271"/>
      <c r="AG1" s="271"/>
      <c r="AH1" s="271"/>
      <c r="AI1" s="271"/>
      <c r="AJ1" s="271"/>
      <c r="AK1" s="271"/>
      <c r="AL1" s="271"/>
      <c r="AM1" s="271"/>
      <c r="AN1" s="271"/>
      <c r="AO1" s="271"/>
      <c r="AP1" s="271"/>
      <c r="AQ1" s="271"/>
      <c r="AR1" s="272"/>
      <c r="AS1" s="298" t="s">
        <v>1263</v>
      </c>
      <c r="AT1" s="299"/>
      <c r="AU1" s="299"/>
      <c r="AV1" s="299"/>
      <c r="AW1" s="299"/>
      <c r="AX1" s="300"/>
      <c r="AY1" s="295" t="s">
        <v>1312</v>
      </c>
      <c r="AZ1" s="296"/>
      <c r="BA1" s="296"/>
      <c r="BB1" s="296"/>
      <c r="BC1" s="296"/>
      <c r="BD1" s="296"/>
      <c r="BE1" s="296"/>
      <c r="BF1" s="296"/>
      <c r="BG1" s="296"/>
      <c r="BH1" s="296"/>
      <c r="BI1" s="296"/>
      <c r="BJ1" s="296"/>
      <c r="BK1" s="296"/>
      <c r="BL1" s="297"/>
    </row>
    <row r="2" spans="1:64" ht="29.45" customHeight="1" x14ac:dyDescent="0.25">
      <c r="A2" s="252" t="s">
        <v>1249</v>
      </c>
      <c r="B2" s="266" t="s">
        <v>22</v>
      </c>
      <c r="C2" s="266" t="s">
        <v>1340</v>
      </c>
      <c r="D2" s="276" t="s">
        <v>1242</v>
      </c>
      <c r="E2" s="268" t="s">
        <v>1241</v>
      </c>
      <c r="F2" s="254" t="s">
        <v>1270</v>
      </c>
      <c r="G2" s="255"/>
      <c r="H2" s="255"/>
      <c r="I2" s="255"/>
      <c r="J2" s="255"/>
      <c r="K2" s="255"/>
      <c r="L2" s="255"/>
      <c r="M2" s="255"/>
      <c r="N2" s="255"/>
      <c r="O2" s="256"/>
      <c r="P2" s="262" t="s">
        <v>1282</v>
      </c>
      <c r="Q2" s="262"/>
      <c r="R2" s="262"/>
      <c r="S2" s="262" t="s">
        <v>559</v>
      </c>
      <c r="T2" s="262" t="s">
        <v>560</v>
      </c>
      <c r="U2" s="262" t="s">
        <v>924</v>
      </c>
      <c r="V2" s="262" t="s">
        <v>925</v>
      </c>
      <c r="W2" s="262" t="s">
        <v>1228</v>
      </c>
      <c r="X2" s="264" t="s">
        <v>1229</v>
      </c>
      <c r="Y2" s="260" t="s">
        <v>1241</v>
      </c>
      <c r="Z2" s="257" t="s">
        <v>1270</v>
      </c>
      <c r="AA2" s="258"/>
      <c r="AB2" s="258"/>
      <c r="AC2" s="258"/>
      <c r="AD2" s="258"/>
      <c r="AE2" s="258"/>
      <c r="AF2" s="258"/>
      <c r="AG2" s="258"/>
      <c r="AH2" s="258"/>
      <c r="AI2" s="259"/>
      <c r="AJ2" s="273" t="s">
        <v>1282</v>
      </c>
      <c r="AK2" s="273"/>
      <c r="AL2" s="273"/>
      <c r="AM2" s="274" t="s">
        <v>557</v>
      </c>
      <c r="AN2" s="274" t="s">
        <v>558</v>
      </c>
      <c r="AO2" s="274" t="s">
        <v>924</v>
      </c>
      <c r="AP2" s="274" t="s">
        <v>925</v>
      </c>
      <c r="AQ2" s="274" t="s">
        <v>1228</v>
      </c>
      <c r="AR2" s="250" t="s">
        <v>1229</v>
      </c>
      <c r="AS2" s="290" t="s">
        <v>690</v>
      </c>
      <c r="AT2" s="291"/>
      <c r="AU2" s="292"/>
      <c r="AV2" s="290" t="s">
        <v>1265</v>
      </c>
      <c r="AW2" s="291"/>
      <c r="AX2" s="292"/>
      <c r="AY2" s="286" t="s">
        <v>1241</v>
      </c>
      <c r="AZ2" s="288" t="s">
        <v>1267</v>
      </c>
      <c r="BA2" s="288"/>
      <c r="BB2" s="288"/>
      <c r="BC2" s="288"/>
      <c r="BD2" s="288"/>
      <c r="BE2" s="288"/>
      <c r="BF2" s="288"/>
      <c r="BG2" s="288"/>
      <c r="BH2" s="288"/>
      <c r="BI2" s="289"/>
      <c r="BJ2" s="293" t="s">
        <v>1268</v>
      </c>
      <c r="BK2" s="293"/>
      <c r="BL2" s="294"/>
    </row>
    <row r="3" spans="1:64" s="10" customFormat="1" ht="29.45" customHeight="1" thickBot="1" x14ac:dyDescent="0.3">
      <c r="A3" s="253"/>
      <c r="B3" s="267"/>
      <c r="C3" s="267"/>
      <c r="D3" s="277"/>
      <c r="E3" s="269"/>
      <c r="F3" s="23" t="s">
        <v>25</v>
      </c>
      <c r="G3" s="23" t="s">
        <v>26</v>
      </c>
      <c r="H3" s="23" t="s">
        <v>1279</v>
      </c>
      <c r="I3" s="23" t="s">
        <v>1230</v>
      </c>
      <c r="J3" s="23" t="s">
        <v>1231</v>
      </c>
      <c r="K3" s="23" t="s">
        <v>1232</v>
      </c>
      <c r="L3" s="23" t="s">
        <v>1233</v>
      </c>
      <c r="M3" s="23" t="s">
        <v>1236</v>
      </c>
      <c r="N3" s="23" t="s">
        <v>1235</v>
      </c>
      <c r="O3" s="23" t="s">
        <v>1234</v>
      </c>
      <c r="P3" s="179" t="s">
        <v>1261</v>
      </c>
      <c r="Q3" s="24" t="s">
        <v>1262</v>
      </c>
      <c r="R3" s="24" t="s">
        <v>1225</v>
      </c>
      <c r="S3" s="263"/>
      <c r="T3" s="263"/>
      <c r="U3" s="263"/>
      <c r="V3" s="263"/>
      <c r="W3" s="263"/>
      <c r="X3" s="265"/>
      <c r="Y3" s="261"/>
      <c r="Z3" s="41" t="s">
        <v>25</v>
      </c>
      <c r="AA3" s="41" t="s">
        <v>26</v>
      </c>
      <c r="AB3" s="41" t="s">
        <v>1222</v>
      </c>
      <c r="AC3" s="41" t="s">
        <v>1230</v>
      </c>
      <c r="AD3" s="41" t="s">
        <v>1231</v>
      </c>
      <c r="AE3" s="41" t="s">
        <v>1232</v>
      </c>
      <c r="AF3" s="41" t="s">
        <v>1233</v>
      </c>
      <c r="AG3" s="41" t="s">
        <v>1236</v>
      </c>
      <c r="AH3" s="41" t="s">
        <v>1235</v>
      </c>
      <c r="AI3" s="41" t="s">
        <v>1234</v>
      </c>
      <c r="AJ3" s="42" t="s">
        <v>1223</v>
      </c>
      <c r="AK3" s="42" t="s">
        <v>1224</v>
      </c>
      <c r="AL3" s="42" t="s">
        <v>1225</v>
      </c>
      <c r="AM3" s="275"/>
      <c r="AN3" s="275"/>
      <c r="AO3" s="275"/>
      <c r="AP3" s="275"/>
      <c r="AQ3" s="275"/>
      <c r="AR3" s="251"/>
      <c r="AS3" s="50" t="s">
        <v>1261</v>
      </c>
      <c r="AT3" s="51" t="s">
        <v>1224</v>
      </c>
      <c r="AU3" s="52" t="s">
        <v>1225</v>
      </c>
      <c r="AV3" s="50" t="s">
        <v>1261</v>
      </c>
      <c r="AW3" s="51" t="s">
        <v>1224</v>
      </c>
      <c r="AX3" s="52" t="s">
        <v>1225</v>
      </c>
      <c r="AY3" s="287"/>
      <c r="AZ3" s="57" t="s">
        <v>25</v>
      </c>
      <c r="BA3" s="54" t="s">
        <v>26</v>
      </c>
      <c r="BB3" s="54" t="s">
        <v>1222</v>
      </c>
      <c r="BC3" s="54" t="s">
        <v>1230</v>
      </c>
      <c r="BD3" s="54" t="s">
        <v>1231</v>
      </c>
      <c r="BE3" s="54" t="s">
        <v>1232</v>
      </c>
      <c r="BF3" s="54" t="s">
        <v>1233</v>
      </c>
      <c r="BG3" s="54" t="s">
        <v>1236</v>
      </c>
      <c r="BH3" s="54" t="s">
        <v>1235</v>
      </c>
      <c r="BI3" s="54" t="s">
        <v>1234</v>
      </c>
      <c r="BJ3" s="55" t="s">
        <v>1223</v>
      </c>
      <c r="BK3" s="55" t="s">
        <v>1224</v>
      </c>
      <c r="BL3" s="56" t="s">
        <v>1225</v>
      </c>
    </row>
    <row r="4" spans="1:64" ht="29.45" hidden="1" customHeight="1" thickBot="1" x14ac:dyDescent="0.3">
      <c r="A4" s="182" t="s">
        <v>23</v>
      </c>
      <c r="B4" s="25"/>
      <c r="C4" s="14" t="s">
        <v>24</v>
      </c>
      <c r="D4" s="29" t="s">
        <v>24</v>
      </c>
      <c r="E4" s="30" t="s">
        <v>27</v>
      </c>
      <c r="F4" s="15" t="s">
        <v>28</v>
      </c>
      <c r="G4" s="15" t="s">
        <v>29</v>
      </c>
      <c r="H4" s="15" t="s">
        <v>30</v>
      </c>
      <c r="I4" s="15"/>
      <c r="J4" s="15"/>
      <c r="K4" s="15"/>
      <c r="L4" s="15"/>
      <c r="M4" s="15"/>
      <c r="N4" s="15"/>
      <c r="O4" s="15"/>
      <c r="P4" s="180" t="s">
        <v>31</v>
      </c>
      <c r="Q4" s="14" t="s">
        <v>32</v>
      </c>
      <c r="R4" s="14" t="s">
        <v>33</v>
      </c>
      <c r="S4" s="14" t="s">
        <v>34</v>
      </c>
      <c r="T4" s="14" t="s">
        <v>35</v>
      </c>
      <c r="U4" s="14" t="s">
        <v>926</v>
      </c>
      <c r="V4" s="14" t="s">
        <v>927</v>
      </c>
      <c r="W4" s="14" t="s">
        <v>928</v>
      </c>
      <c r="X4" s="31" t="s">
        <v>929</v>
      </c>
      <c r="Y4" s="39" t="s">
        <v>36</v>
      </c>
      <c r="Z4" s="19" t="s">
        <v>28</v>
      </c>
      <c r="AA4" s="19" t="s">
        <v>29</v>
      </c>
      <c r="AB4" s="19" t="s">
        <v>30</v>
      </c>
      <c r="AC4" s="19"/>
      <c r="AD4" s="19"/>
      <c r="AE4" s="19"/>
      <c r="AF4" s="19"/>
      <c r="AG4" s="19"/>
      <c r="AH4" s="19"/>
      <c r="AI4" s="19"/>
      <c r="AJ4" s="14" t="s">
        <v>37</v>
      </c>
      <c r="AK4" s="14" t="s">
        <v>38</v>
      </c>
      <c r="AL4" s="14" t="s">
        <v>39</v>
      </c>
      <c r="AM4" s="7" t="s">
        <v>40</v>
      </c>
      <c r="AN4" s="7" t="s">
        <v>41</v>
      </c>
      <c r="AO4" s="7" t="s">
        <v>930</v>
      </c>
      <c r="AP4" s="7" t="s">
        <v>931</v>
      </c>
      <c r="AQ4" s="7" t="s">
        <v>932</v>
      </c>
      <c r="AR4" s="40" t="s">
        <v>933</v>
      </c>
      <c r="AS4" s="167" t="s">
        <v>42</v>
      </c>
      <c r="AT4" s="168" t="s">
        <v>43</v>
      </c>
      <c r="AU4" s="169" t="s">
        <v>44</v>
      </c>
      <c r="AV4" s="45"/>
      <c r="AX4" s="46"/>
      <c r="AY4" s="53"/>
      <c r="BE4" s="46"/>
      <c r="BL4" s="46"/>
    </row>
    <row r="5" spans="1:64" x14ac:dyDescent="0.25">
      <c r="A5" s="283" t="s">
        <v>1250</v>
      </c>
      <c r="B5" s="247" t="s">
        <v>1260</v>
      </c>
      <c r="C5" s="26" t="s">
        <v>45</v>
      </c>
      <c r="D5" s="43"/>
      <c r="E5" s="32">
        <v>567724</v>
      </c>
      <c r="F5" s="58">
        <v>74595888</v>
      </c>
      <c r="G5" s="58">
        <v>10667080</v>
      </c>
      <c r="H5" s="58">
        <v>63918728</v>
      </c>
      <c r="I5" s="58">
        <v>6003168</v>
      </c>
      <c r="J5" s="58">
        <v>6125840</v>
      </c>
      <c r="K5" s="58">
        <v>10816192</v>
      </c>
      <c r="L5" s="58">
        <v>15762824</v>
      </c>
      <c r="M5" s="58">
        <v>3682352</v>
      </c>
      <c r="N5" s="58">
        <v>9213096</v>
      </c>
      <c r="O5" s="58">
        <v>12315256</v>
      </c>
      <c r="P5" s="59">
        <v>38.160235663340302</v>
      </c>
      <c r="Q5" s="59">
        <v>42.8351566267728</v>
      </c>
      <c r="R5" s="60">
        <v>0.99203969490223798</v>
      </c>
      <c r="S5" s="21">
        <v>28.347100000000001</v>
      </c>
      <c r="T5" s="21">
        <v>25.9346</v>
      </c>
      <c r="U5" s="21">
        <v>1.7560500000000001</v>
      </c>
      <c r="V5" s="21">
        <v>0.29895699999999997</v>
      </c>
      <c r="W5" s="21">
        <v>25.953900000000001</v>
      </c>
      <c r="X5" s="33">
        <v>25.197800000000001</v>
      </c>
      <c r="Y5" s="32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60"/>
      <c r="AK5" s="60"/>
      <c r="AL5" s="60"/>
      <c r="AM5" s="21"/>
      <c r="AN5" s="21"/>
      <c r="AO5" s="21"/>
      <c r="AP5" s="21"/>
      <c r="AQ5" s="21"/>
      <c r="AR5" s="33"/>
      <c r="AS5" s="171" t="str">
        <f ca="1">bdRateHermiteNew(INDIRECT("F5:F9"), INDIRECT("P5:P9"), INDIRECT("Z5:Z9"), INDIRECT("AJ5:AJ9"))</f>
        <v>No Test</v>
      </c>
      <c r="AT5" s="172" t="str">
        <f ca="1">bdRateHermiteNew(INDIRECT("F5:F9"), INDIRECT("Q5:Q9"), INDIRECT("Z5:Z9"), INDIRECT("AK5:AK9"))</f>
        <v>No Test</v>
      </c>
      <c r="AU5" s="173" t="str">
        <f ca="1">bdRateHermiteNew(INDIRECT("F5:F9"), INDIRECT("R5:R9"), INDIRECT("Z5:Z9"), INDIRECT("AL5:AL9"))</f>
        <v>No Test</v>
      </c>
      <c r="AV5" s="171" t="str">
        <f ca="1">bdRateHermiteNew(INDIRECT("H5:H9"), INDIRECT("P5:P9"), INDIRECT("AB5:AB9"), INDIRECT("AJ5:AJ9"))</f>
        <v>No Test</v>
      </c>
      <c r="AW5" s="172" t="str">
        <f ca="1">bdRateHermiteNew(INDIRECT("H5:H9"), INDIRECT("Q5:Q9"), INDIRECT("AB5:AB9"), INDIRECT("AK5:AK9"))</f>
        <v>No Test</v>
      </c>
      <c r="AX5" s="173" t="str">
        <f ca="1">bdRateHermiteNew(INDIRECT("H5:H9"), INDIRECT("R5:R9"), INDIRECT("AB5:AB9"), INDIRECT("AL5:AL9"))</f>
        <v>No Test</v>
      </c>
      <c r="AY5" s="32">
        <f>Y5-E5</f>
        <v>-567724</v>
      </c>
      <c r="AZ5" s="58">
        <f t="shared" ref="AZ5:AZ54" si="0">Z5-F5</f>
        <v>-74595888</v>
      </c>
      <c r="BA5" s="58">
        <f>AA5-G5</f>
        <v>-10667080</v>
      </c>
      <c r="BB5" s="58">
        <f t="shared" ref="BB5:BI5" si="1">AB5-H5</f>
        <v>-63918728</v>
      </c>
      <c r="BC5" s="58">
        <f t="shared" si="1"/>
        <v>-6003168</v>
      </c>
      <c r="BD5" s="58">
        <f t="shared" si="1"/>
        <v>-6125840</v>
      </c>
      <c r="BE5" s="58">
        <f t="shared" si="1"/>
        <v>-10816192</v>
      </c>
      <c r="BF5" s="58">
        <f t="shared" si="1"/>
        <v>-15762824</v>
      </c>
      <c r="BG5" s="58">
        <f t="shared" si="1"/>
        <v>-3682352</v>
      </c>
      <c r="BH5" s="58">
        <f t="shared" si="1"/>
        <v>-9213096</v>
      </c>
      <c r="BI5" s="58">
        <f t="shared" si="1"/>
        <v>-12315256</v>
      </c>
      <c r="BJ5" s="67">
        <f t="shared" ref="BJ5" si="2">AJ5-P5</f>
        <v>-38.160235663340302</v>
      </c>
      <c r="BK5" s="67">
        <f t="shared" ref="BK5" si="3">AK5-Q5</f>
        <v>-42.8351566267728</v>
      </c>
      <c r="BL5" s="68">
        <f>AL5-R5</f>
        <v>-0.99203969490223798</v>
      </c>
    </row>
    <row r="6" spans="1:64" outlineLevel="1" x14ac:dyDescent="0.25">
      <c r="A6" s="284"/>
      <c r="B6" s="248"/>
      <c r="C6" s="27" t="s">
        <v>46</v>
      </c>
      <c r="D6" s="183"/>
      <c r="E6" s="34">
        <v>567724</v>
      </c>
      <c r="F6" s="61">
        <v>102012448</v>
      </c>
      <c r="G6" s="61">
        <v>10667080</v>
      </c>
      <c r="H6" s="61">
        <v>91335288</v>
      </c>
      <c r="I6" s="61">
        <v>7858864</v>
      </c>
      <c r="J6" s="61">
        <v>10323360</v>
      </c>
      <c r="K6" s="61">
        <v>17963736</v>
      </c>
      <c r="L6" s="61">
        <v>25827768</v>
      </c>
      <c r="M6" s="61">
        <v>4198896</v>
      </c>
      <c r="N6" s="61">
        <v>10778288</v>
      </c>
      <c r="O6" s="61">
        <v>14384376</v>
      </c>
      <c r="P6" s="62">
        <v>43.811051392299902</v>
      </c>
      <c r="Q6" s="62">
        <v>48.515169197478997</v>
      </c>
      <c r="R6" s="63">
        <v>0.997020939461714</v>
      </c>
      <c r="S6" s="35">
        <v>29.733499999999999</v>
      </c>
      <c r="T6" s="35">
        <v>26.952000000000002</v>
      </c>
      <c r="U6" s="35">
        <v>1.75037</v>
      </c>
      <c r="V6" s="35">
        <v>0.42361700000000002</v>
      </c>
      <c r="W6" s="35">
        <v>27.3414</v>
      </c>
      <c r="X6" s="36">
        <v>25.970600000000001</v>
      </c>
      <c r="Y6" s="34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3"/>
      <c r="AK6" s="63"/>
      <c r="AL6" s="63"/>
      <c r="AM6" s="35"/>
      <c r="AN6" s="35"/>
      <c r="AO6" s="35"/>
      <c r="AP6" s="35"/>
      <c r="AQ6" s="35"/>
      <c r="AR6" s="36"/>
      <c r="AS6" s="47"/>
      <c r="AT6" s="94"/>
      <c r="AU6" s="95"/>
      <c r="AV6" s="166"/>
      <c r="AW6" s="94"/>
      <c r="AX6" s="95"/>
      <c r="AY6" s="34">
        <f t="shared" ref="AY6:AY69" si="4">Y6-E6</f>
        <v>-567724</v>
      </c>
      <c r="AZ6" s="61">
        <f t="shared" si="0"/>
        <v>-102012448</v>
      </c>
      <c r="BA6" s="61">
        <f t="shared" ref="BA6:BA9" si="5">AA6-G6</f>
        <v>-10667080</v>
      </c>
      <c r="BB6" s="61">
        <f t="shared" ref="BB6:BB10" si="6">AB6-H6</f>
        <v>-91335288</v>
      </c>
      <c r="BC6" s="61">
        <f t="shared" ref="BC6:BC10" si="7">AC6-I6</f>
        <v>-7858864</v>
      </c>
      <c r="BD6" s="61">
        <f t="shared" ref="BD6:BD10" si="8">AD6-J6</f>
        <v>-10323360</v>
      </c>
      <c r="BE6" s="61">
        <f t="shared" ref="BE6:BE10" si="9">AE6-K6</f>
        <v>-17963736</v>
      </c>
      <c r="BF6" s="61">
        <f t="shared" ref="BF6:BF10" si="10">AF6-L6</f>
        <v>-25827768</v>
      </c>
      <c r="BG6" s="61">
        <f t="shared" ref="BG6:BG10" si="11">AG6-M6</f>
        <v>-4198896</v>
      </c>
      <c r="BH6" s="61">
        <f t="shared" ref="BH6:BH10" si="12">AH6-N6</f>
        <v>-10778288</v>
      </c>
      <c r="BI6" s="61">
        <f t="shared" ref="BI6:BI10" si="13">AI6-O6</f>
        <v>-14384376</v>
      </c>
      <c r="BJ6" s="154">
        <f t="shared" ref="BJ6:BJ10" si="14">AJ6-P6</f>
        <v>-43.811051392299902</v>
      </c>
      <c r="BK6" s="154">
        <f t="shared" ref="BK6:BK10" si="15">AK6-Q6</f>
        <v>-48.515169197478997</v>
      </c>
      <c r="BL6" s="69">
        <f t="shared" ref="BL6:BL10" si="16">AL6-R6</f>
        <v>-0.997020939461714</v>
      </c>
    </row>
    <row r="7" spans="1:64" outlineLevel="1" x14ac:dyDescent="0.25">
      <c r="A7" s="284"/>
      <c r="B7" s="248"/>
      <c r="C7" s="27" t="s">
        <v>47</v>
      </c>
      <c r="D7" s="183"/>
      <c r="E7" s="34">
        <v>567724</v>
      </c>
      <c r="F7" s="61">
        <v>134259176</v>
      </c>
      <c r="G7" s="61">
        <v>10667080</v>
      </c>
      <c r="H7" s="61">
        <v>123582016</v>
      </c>
      <c r="I7" s="61">
        <v>9549992</v>
      </c>
      <c r="J7" s="61">
        <v>15549232</v>
      </c>
      <c r="K7" s="61">
        <v>26723480</v>
      </c>
      <c r="L7" s="61">
        <v>38213816</v>
      </c>
      <c r="M7" s="61">
        <v>4754776</v>
      </c>
      <c r="N7" s="61">
        <v>12331696</v>
      </c>
      <c r="O7" s="61">
        <v>16459024</v>
      </c>
      <c r="P7" s="62">
        <v>48.799706223928197</v>
      </c>
      <c r="Q7" s="62">
        <v>53.304543786513896</v>
      </c>
      <c r="R7" s="63">
        <v>0.99840739181776195</v>
      </c>
      <c r="S7" s="35">
        <v>30.506900000000002</v>
      </c>
      <c r="T7" s="35">
        <v>27.6264</v>
      </c>
      <c r="U7" s="35">
        <v>1.75929</v>
      </c>
      <c r="V7" s="35">
        <v>0.42465700000000001</v>
      </c>
      <c r="W7" s="35">
        <v>28.107700000000001</v>
      </c>
      <c r="X7" s="36">
        <v>26.536899999999999</v>
      </c>
      <c r="Y7" s="34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3"/>
      <c r="AK7" s="63"/>
      <c r="AL7" s="63"/>
      <c r="AM7" s="35"/>
      <c r="AN7" s="35"/>
      <c r="AO7" s="35"/>
      <c r="AP7" s="35"/>
      <c r="AQ7" s="35"/>
      <c r="AR7" s="36"/>
      <c r="AS7" s="47"/>
      <c r="AT7" s="94"/>
      <c r="AU7" s="95"/>
      <c r="AV7" s="166"/>
      <c r="AW7" s="94"/>
      <c r="AX7" s="95"/>
      <c r="AY7" s="34">
        <f t="shared" si="4"/>
        <v>-567724</v>
      </c>
      <c r="AZ7" s="61">
        <f t="shared" si="0"/>
        <v>-134259176</v>
      </c>
      <c r="BA7" s="61">
        <f t="shared" si="5"/>
        <v>-10667080</v>
      </c>
      <c r="BB7" s="61">
        <f t="shared" si="6"/>
        <v>-123582016</v>
      </c>
      <c r="BC7" s="61">
        <f t="shared" si="7"/>
        <v>-9549992</v>
      </c>
      <c r="BD7" s="61">
        <f t="shared" si="8"/>
        <v>-15549232</v>
      </c>
      <c r="BE7" s="61">
        <f t="shared" si="9"/>
        <v>-26723480</v>
      </c>
      <c r="BF7" s="61">
        <f t="shared" si="10"/>
        <v>-38213816</v>
      </c>
      <c r="BG7" s="61">
        <f t="shared" si="11"/>
        <v>-4754776</v>
      </c>
      <c r="BH7" s="61">
        <f t="shared" si="12"/>
        <v>-12331696</v>
      </c>
      <c r="BI7" s="61">
        <f t="shared" si="13"/>
        <v>-16459024</v>
      </c>
      <c r="BJ7" s="154">
        <f t="shared" si="14"/>
        <v>-48.799706223928197</v>
      </c>
      <c r="BK7" s="154">
        <f t="shared" si="15"/>
        <v>-53.304543786513896</v>
      </c>
      <c r="BL7" s="69">
        <f t="shared" si="16"/>
        <v>-0.99840739181776195</v>
      </c>
    </row>
    <row r="8" spans="1:64" outlineLevel="1" x14ac:dyDescent="0.25">
      <c r="A8" s="284"/>
      <c r="B8" s="248"/>
      <c r="C8" s="27" t="s">
        <v>48</v>
      </c>
      <c r="D8" s="183"/>
      <c r="E8" s="34">
        <v>567724</v>
      </c>
      <c r="F8" s="61">
        <v>168416544</v>
      </c>
      <c r="G8" s="61">
        <v>10667080</v>
      </c>
      <c r="H8" s="61">
        <v>157739496</v>
      </c>
      <c r="I8" s="61">
        <v>11052160</v>
      </c>
      <c r="J8" s="61">
        <v>21290584</v>
      </c>
      <c r="K8" s="61">
        <v>36184256</v>
      </c>
      <c r="L8" s="61">
        <v>51371976</v>
      </c>
      <c r="M8" s="61">
        <v>5307456</v>
      </c>
      <c r="N8" s="61">
        <v>13936904</v>
      </c>
      <c r="O8" s="61">
        <v>18596160</v>
      </c>
      <c r="P8" s="62">
        <v>51.998604951709702</v>
      </c>
      <c r="Q8" s="62">
        <v>56.189003253164202</v>
      </c>
      <c r="R8" s="63">
        <v>0.99882803329147596</v>
      </c>
      <c r="S8" s="35">
        <v>30.5518</v>
      </c>
      <c r="T8" s="35">
        <v>28.2605</v>
      </c>
      <c r="U8" s="35">
        <v>1.75776</v>
      </c>
      <c r="V8" s="35">
        <v>0.30947200000000002</v>
      </c>
      <c r="W8" s="35">
        <v>28.162600000000001</v>
      </c>
      <c r="X8" s="36">
        <v>27.1708</v>
      </c>
      <c r="Y8" s="34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3"/>
      <c r="AK8" s="63"/>
      <c r="AL8" s="63"/>
      <c r="AM8" s="35"/>
      <c r="AN8" s="35"/>
      <c r="AO8" s="35"/>
      <c r="AP8" s="35"/>
      <c r="AQ8" s="35"/>
      <c r="AR8" s="36"/>
      <c r="AS8" s="47"/>
      <c r="AT8" s="94"/>
      <c r="AU8" s="95"/>
      <c r="AV8" s="166"/>
      <c r="AW8" s="94"/>
      <c r="AX8" s="95"/>
      <c r="AY8" s="34">
        <f t="shared" si="4"/>
        <v>-567724</v>
      </c>
      <c r="AZ8" s="61">
        <f t="shared" si="0"/>
        <v>-168416544</v>
      </c>
      <c r="BA8" s="61">
        <f t="shared" si="5"/>
        <v>-10667080</v>
      </c>
      <c r="BB8" s="61">
        <f t="shared" si="6"/>
        <v>-157739496</v>
      </c>
      <c r="BC8" s="61">
        <f t="shared" si="7"/>
        <v>-11052160</v>
      </c>
      <c r="BD8" s="61">
        <f t="shared" si="8"/>
        <v>-21290584</v>
      </c>
      <c r="BE8" s="61">
        <f t="shared" si="9"/>
        <v>-36184256</v>
      </c>
      <c r="BF8" s="61">
        <f t="shared" si="10"/>
        <v>-51371976</v>
      </c>
      <c r="BG8" s="61">
        <f t="shared" si="11"/>
        <v>-5307456</v>
      </c>
      <c r="BH8" s="61">
        <f t="shared" si="12"/>
        <v>-13936904</v>
      </c>
      <c r="BI8" s="61">
        <f t="shared" si="13"/>
        <v>-18596160</v>
      </c>
      <c r="BJ8" s="154">
        <f t="shared" si="14"/>
        <v>-51.998604951709702</v>
      </c>
      <c r="BK8" s="154">
        <f t="shared" si="15"/>
        <v>-56.189003253164202</v>
      </c>
      <c r="BL8" s="69">
        <f t="shared" si="16"/>
        <v>-0.99882803329147596</v>
      </c>
    </row>
    <row r="9" spans="1:64" ht="15.75" outlineLevel="1" thickBot="1" x14ac:dyDescent="0.3">
      <c r="A9" s="284"/>
      <c r="B9" s="249"/>
      <c r="C9" s="28" t="s">
        <v>49</v>
      </c>
      <c r="D9" s="44"/>
      <c r="E9" s="37">
        <v>567724</v>
      </c>
      <c r="F9" s="64">
        <v>199840464</v>
      </c>
      <c r="G9" s="64">
        <v>10667080</v>
      </c>
      <c r="H9" s="64">
        <v>189163416</v>
      </c>
      <c r="I9" s="64">
        <v>12512568</v>
      </c>
      <c r="J9" s="64">
        <v>26467168</v>
      </c>
      <c r="K9" s="64">
        <v>44768544</v>
      </c>
      <c r="L9" s="64">
        <v>63117544</v>
      </c>
      <c r="M9" s="64">
        <v>5877472</v>
      </c>
      <c r="N9" s="64">
        <v>15600288</v>
      </c>
      <c r="O9" s="64">
        <v>20819832</v>
      </c>
      <c r="P9" s="65">
        <v>53.876176186295901</v>
      </c>
      <c r="Q9" s="65">
        <v>57.807478349336797</v>
      </c>
      <c r="R9" s="66">
        <v>0.99906901151757099</v>
      </c>
      <c r="S9" s="22">
        <v>31.939399999999999</v>
      </c>
      <c r="T9" s="22">
        <v>29.4406</v>
      </c>
      <c r="U9" s="22">
        <v>1.7679400000000001</v>
      </c>
      <c r="V9" s="22">
        <v>0.30873200000000001</v>
      </c>
      <c r="W9" s="22">
        <v>29.361799999999999</v>
      </c>
      <c r="X9" s="38">
        <v>28.2685</v>
      </c>
      <c r="Y9" s="37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6"/>
      <c r="AK9" s="66"/>
      <c r="AL9" s="66"/>
      <c r="AM9" s="22"/>
      <c r="AN9" s="22"/>
      <c r="AO9" s="22"/>
      <c r="AP9" s="22"/>
      <c r="AQ9" s="22"/>
      <c r="AR9" s="38"/>
      <c r="AS9" s="48"/>
      <c r="AT9" s="98"/>
      <c r="AU9" s="99"/>
      <c r="AV9" s="170"/>
      <c r="AW9" s="94"/>
      <c r="AX9" s="95"/>
      <c r="AY9" s="34">
        <f t="shared" si="4"/>
        <v>-567724</v>
      </c>
      <c r="AZ9" s="64">
        <f t="shared" si="0"/>
        <v>-199840464</v>
      </c>
      <c r="BA9" s="64">
        <f t="shared" si="5"/>
        <v>-10667080</v>
      </c>
      <c r="BB9" s="64">
        <f t="shared" si="6"/>
        <v>-189163416</v>
      </c>
      <c r="BC9" s="64">
        <f t="shared" si="7"/>
        <v>-12512568</v>
      </c>
      <c r="BD9" s="64">
        <f t="shared" si="8"/>
        <v>-26467168</v>
      </c>
      <c r="BE9" s="64">
        <f t="shared" si="9"/>
        <v>-44768544</v>
      </c>
      <c r="BF9" s="64">
        <f t="shared" si="10"/>
        <v>-63117544</v>
      </c>
      <c r="BG9" s="64">
        <f t="shared" si="11"/>
        <v>-5877472</v>
      </c>
      <c r="BH9" s="64">
        <f t="shared" si="12"/>
        <v>-15600288</v>
      </c>
      <c r="BI9" s="64">
        <f t="shared" si="13"/>
        <v>-20819832</v>
      </c>
      <c r="BJ9" s="70">
        <f t="shared" si="14"/>
        <v>-53.876176186295901</v>
      </c>
      <c r="BK9" s="70">
        <f t="shared" si="15"/>
        <v>-57.807478349336797</v>
      </c>
      <c r="BL9" s="71">
        <f t="shared" si="16"/>
        <v>-0.99906901151757099</v>
      </c>
    </row>
    <row r="10" spans="1:64" x14ac:dyDescent="0.25">
      <c r="A10" s="284"/>
      <c r="B10" s="247" t="s">
        <v>1227</v>
      </c>
      <c r="C10" s="26" t="s">
        <v>45</v>
      </c>
      <c r="D10" s="43"/>
      <c r="E10" s="32">
        <v>423249</v>
      </c>
      <c r="F10" s="58">
        <v>55582600</v>
      </c>
      <c r="G10" s="58">
        <v>8252744</v>
      </c>
      <c r="H10" s="58">
        <v>47319776</v>
      </c>
      <c r="I10" s="58">
        <v>4913288</v>
      </c>
      <c r="J10" s="58">
        <v>4615912</v>
      </c>
      <c r="K10" s="58">
        <v>7901568</v>
      </c>
      <c r="L10" s="58">
        <v>11222944</v>
      </c>
      <c r="M10" s="58">
        <v>2740336</v>
      </c>
      <c r="N10" s="58">
        <v>6730328</v>
      </c>
      <c r="O10" s="58">
        <v>9195400</v>
      </c>
      <c r="P10" s="59">
        <v>36.994369484700798</v>
      </c>
      <c r="Q10" s="59">
        <v>41.698067071586898</v>
      </c>
      <c r="R10" s="60">
        <v>0.992106639851285</v>
      </c>
      <c r="S10" s="21">
        <v>21.417300000000001</v>
      </c>
      <c r="T10" s="21">
        <v>19.3307</v>
      </c>
      <c r="U10" s="21">
        <v>1.2860799999999999</v>
      </c>
      <c r="V10" s="21">
        <v>0.231406</v>
      </c>
      <c r="W10" s="21">
        <v>19.650500000000001</v>
      </c>
      <c r="X10" s="33">
        <v>18.770299999999999</v>
      </c>
      <c r="Y10" s="32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60"/>
      <c r="AK10" s="60"/>
      <c r="AL10" s="60"/>
      <c r="AM10" s="21"/>
      <c r="AN10" s="21"/>
      <c r="AO10" s="21"/>
      <c r="AP10" s="21"/>
      <c r="AQ10" s="21"/>
      <c r="AR10" s="33"/>
      <c r="AS10" s="171" t="str">
        <f ca="1">bdRateHermiteNew(INDIRECT("F10:F14"), INDIRECT("P10:P14"), INDIRECT("Z10:Z14"), INDIRECT("AJ10:AJ14"))</f>
        <v>No Test</v>
      </c>
      <c r="AT10" s="172" t="str">
        <f ca="1">bdRateHermiteNew(INDIRECT("F10:F14"), INDIRECT("Q10:Q14"), INDIRECT("Z10:Z14"), INDIRECT("AK10:AK14"))</f>
        <v>No Test</v>
      </c>
      <c r="AU10" s="173" t="str">
        <f ca="1">bdRateHermiteNew(INDIRECT("F10:F14"), INDIRECT("R10:R14"), INDIRECT("Z10:Z14"), INDIRECT("AL10:AL14"))</f>
        <v>No Test</v>
      </c>
      <c r="AV10" s="171" t="str">
        <f ca="1">bdRateHermiteNew(INDIRECT("H10:H14"), INDIRECT("P10:P14"), INDIRECT("AB10:AB14"), INDIRECT("AJ10:AJ14"))</f>
        <v>No Test</v>
      </c>
      <c r="AW10" s="172" t="str">
        <f ca="1">bdRateHermiteNew(INDIRECT("H10:H14"), INDIRECT("Q10:Q14"), INDIRECT("AB10:AB14"), INDIRECT("AK10:AK14"))</f>
        <v>No Test</v>
      </c>
      <c r="AX10" s="173" t="str">
        <f ca="1">bdRateHermiteNew(INDIRECT("H10:H14"), INDIRECT("R10:R14"), INDIRECT("AB10:AB14"), INDIRECT("AL10:AL14"))</f>
        <v>No Test</v>
      </c>
      <c r="AY10" s="32">
        <f t="shared" si="4"/>
        <v>-423249</v>
      </c>
      <c r="AZ10" s="58">
        <f t="shared" si="0"/>
        <v>-55582600</v>
      </c>
      <c r="BA10" s="58">
        <f t="shared" ref="BA10" si="17">AA10-G10</f>
        <v>-8252744</v>
      </c>
      <c r="BB10" s="58">
        <f t="shared" si="6"/>
        <v>-47319776</v>
      </c>
      <c r="BC10" s="58">
        <f t="shared" si="7"/>
        <v>-4913288</v>
      </c>
      <c r="BD10" s="58">
        <f t="shared" si="8"/>
        <v>-4615912</v>
      </c>
      <c r="BE10" s="58">
        <f t="shared" si="9"/>
        <v>-7901568</v>
      </c>
      <c r="BF10" s="58">
        <f t="shared" si="10"/>
        <v>-11222944</v>
      </c>
      <c r="BG10" s="58">
        <f t="shared" si="11"/>
        <v>-2740336</v>
      </c>
      <c r="BH10" s="58">
        <f t="shared" si="12"/>
        <v>-6730328</v>
      </c>
      <c r="BI10" s="58">
        <f t="shared" si="13"/>
        <v>-9195400</v>
      </c>
      <c r="BJ10" s="67">
        <f t="shared" si="14"/>
        <v>-36.994369484700798</v>
      </c>
      <c r="BK10" s="67">
        <f t="shared" si="15"/>
        <v>-41.698067071586898</v>
      </c>
      <c r="BL10" s="68">
        <f t="shared" si="16"/>
        <v>-0.992106639851285</v>
      </c>
    </row>
    <row r="11" spans="1:64" outlineLevel="1" x14ac:dyDescent="0.25">
      <c r="A11" s="284"/>
      <c r="B11" s="248"/>
      <c r="C11" s="27" t="s">
        <v>46</v>
      </c>
      <c r="D11" s="183"/>
      <c r="E11" s="34">
        <v>423249</v>
      </c>
      <c r="F11" s="61">
        <v>75707592</v>
      </c>
      <c r="G11" s="61">
        <v>8252744</v>
      </c>
      <c r="H11" s="61">
        <v>67444768</v>
      </c>
      <c r="I11" s="61">
        <v>6235136</v>
      </c>
      <c r="J11" s="61">
        <v>7777688</v>
      </c>
      <c r="K11" s="61">
        <v>13169512</v>
      </c>
      <c r="L11" s="61">
        <v>18511344</v>
      </c>
      <c r="M11" s="61">
        <v>3120264</v>
      </c>
      <c r="N11" s="61">
        <v>7881960</v>
      </c>
      <c r="O11" s="61">
        <v>10748864</v>
      </c>
      <c r="P11" s="62">
        <v>42.964316783850599</v>
      </c>
      <c r="Q11" s="62">
        <v>47.623624593755501</v>
      </c>
      <c r="R11" s="63">
        <v>0.99693962550085702</v>
      </c>
      <c r="S11" s="35">
        <v>21.808499999999999</v>
      </c>
      <c r="T11" s="35">
        <v>19.8794</v>
      </c>
      <c r="U11" s="35">
        <v>1.2991999999999999</v>
      </c>
      <c r="V11" s="35">
        <v>0.231878</v>
      </c>
      <c r="W11" s="35">
        <v>20.0379</v>
      </c>
      <c r="X11" s="36">
        <v>19.250599999999999</v>
      </c>
      <c r="Y11" s="34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3"/>
      <c r="AK11" s="63"/>
      <c r="AL11" s="63"/>
      <c r="AM11" s="35"/>
      <c r="AN11" s="35"/>
      <c r="AO11" s="35"/>
      <c r="AP11" s="35"/>
      <c r="AQ11" s="35"/>
      <c r="AR11" s="36"/>
      <c r="AS11" s="47"/>
      <c r="AT11" s="94"/>
      <c r="AU11" s="95"/>
      <c r="AV11" s="47"/>
      <c r="AW11" s="94"/>
      <c r="AX11" s="95"/>
      <c r="AY11" s="34">
        <f t="shared" si="4"/>
        <v>-423249</v>
      </c>
      <c r="AZ11" s="61">
        <f t="shared" si="0"/>
        <v>-75707592</v>
      </c>
      <c r="BA11" s="61">
        <f t="shared" ref="BA11:BA84" si="18">AA11-G11</f>
        <v>-8252744</v>
      </c>
      <c r="BB11" s="61">
        <f t="shared" ref="BB11:BB84" si="19">AB11-H11</f>
        <v>-67444768</v>
      </c>
      <c r="BC11" s="61">
        <f t="shared" ref="BC11:BC84" si="20">AC11-I11</f>
        <v>-6235136</v>
      </c>
      <c r="BD11" s="61">
        <f t="shared" ref="BD11:BD84" si="21">AD11-J11</f>
        <v>-7777688</v>
      </c>
      <c r="BE11" s="61">
        <f t="shared" ref="BE11:BE84" si="22">AE11-K11</f>
        <v>-13169512</v>
      </c>
      <c r="BF11" s="61">
        <f t="shared" ref="BF11:BF84" si="23">AF11-L11</f>
        <v>-18511344</v>
      </c>
      <c r="BG11" s="61">
        <f t="shared" ref="BG11:BG84" si="24">AG11-M11</f>
        <v>-3120264</v>
      </c>
      <c r="BH11" s="61">
        <f t="shared" ref="BH11:BH84" si="25">AH11-N11</f>
        <v>-7881960</v>
      </c>
      <c r="BI11" s="61">
        <f t="shared" ref="BI11:BI84" si="26">AI11-O11</f>
        <v>-10748864</v>
      </c>
      <c r="BJ11" s="154">
        <f t="shared" ref="BJ11:BJ84" si="27">AJ11-P11</f>
        <v>-42.964316783850599</v>
      </c>
      <c r="BK11" s="154">
        <f t="shared" ref="BK11:BK84" si="28">AK11-Q11</f>
        <v>-47.623624593755501</v>
      </c>
      <c r="BL11" s="69">
        <f t="shared" ref="BL11:BL54" si="29">AL11-R11</f>
        <v>-0.99693962550085702</v>
      </c>
    </row>
    <row r="12" spans="1:64" outlineLevel="1" x14ac:dyDescent="0.25">
      <c r="A12" s="284"/>
      <c r="B12" s="248"/>
      <c r="C12" s="27" t="s">
        <v>47</v>
      </c>
      <c r="D12" s="183"/>
      <c r="E12" s="34">
        <v>423249</v>
      </c>
      <c r="F12" s="61">
        <v>99352392</v>
      </c>
      <c r="G12" s="61">
        <v>8252744</v>
      </c>
      <c r="H12" s="61">
        <v>91089568</v>
      </c>
      <c r="I12" s="61">
        <v>7467024</v>
      </c>
      <c r="J12" s="61">
        <v>11667704</v>
      </c>
      <c r="K12" s="61">
        <v>19602648</v>
      </c>
      <c r="L12" s="61">
        <v>27511344</v>
      </c>
      <c r="M12" s="61">
        <v>3520200</v>
      </c>
      <c r="N12" s="61">
        <v>9022896</v>
      </c>
      <c r="O12" s="61">
        <v>12297752</v>
      </c>
      <c r="P12" s="62">
        <v>48.166325211266297</v>
      </c>
      <c r="Q12" s="62">
        <v>52.5272726800778</v>
      </c>
      <c r="R12" s="63">
        <v>0.99835602515609501</v>
      </c>
      <c r="S12" s="35">
        <v>22.209499999999998</v>
      </c>
      <c r="T12" s="35">
        <v>20.461200000000002</v>
      </c>
      <c r="U12" s="35">
        <v>1.29643</v>
      </c>
      <c r="V12" s="35">
        <v>0.243643</v>
      </c>
      <c r="W12" s="35">
        <v>20.437999999999999</v>
      </c>
      <c r="X12" s="36">
        <v>19.7348</v>
      </c>
      <c r="Y12" s="34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3"/>
      <c r="AK12" s="63"/>
      <c r="AL12" s="63"/>
      <c r="AM12" s="35"/>
      <c r="AN12" s="35"/>
      <c r="AO12" s="35"/>
      <c r="AP12" s="35"/>
      <c r="AQ12" s="35"/>
      <c r="AR12" s="36"/>
      <c r="AS12" s="47"/>
      <c r="AT12" s="94"/>
      <c r="AU12" s="95"/>
      <c r="AV12" s="47"/>
      <c r="AW12" s="94"/>
      <c r="AX12" s="95"/>
      <c r="AY12" s="34">
        <f t="shared" si="4"/>
        <v>-423249</v>
      </c>
      <c r="AZ12" s="61">
        <f t="shared" si="0"/>
        <v>-99352392</v>
      </c>
      <c r="BA12" s="61">
        <f t="shared" si="18"/>
        <v>-8252744</v>
      </c>
      <c r="BB12" s="61">
        <f t="shared" si="19"/>
        <v>-91089568</v>
      </c>
      <c r="BC12" s="61">
        <f t="shared" si="20"/>
        <v>-7467024</v>
      </c>
      <c r="BD12" s="61">
        <f t="shared" si="21"/>
        <v>-11667704</v>
      </c>
      <c r="BE12" s="61">
        <f t="shared" si="22"/>
        <v>-19602648</v>
      </c>
      <c r="BF12" s="61">
        <f t="shared" si="23"/>
        <v>-27511344</v>
      </c>
      <c r="BG12" s="61">
        <f t="shared" si="24"/>
        <v>-3520200</v>
      </c>
      <c r="BH12" s="61">
        <f t="shared" si="25"/>
        <v>-9022896</v>
      </c>
      <c r="BI12" s="61">
        <f t="shared" si="26"/>
        <v>-12297752</v>
      </c>
      <c r="BJ12" s="154">
        <f t="shared" si="27"/>
        <v>-48.166325211266297</v>
      </c>
      <c r="BK12" s="154">
        <f t="shared" si="28"/>
        <v>-52.5272726800778</v>
      </c>
      <c r="BL12" s="69">
        <f t="shared" si="29"/>
        <v>-0.99835602515609501</v>
      </c>
    </row>
    <row r="13" spans="1:64" outlineLevel="1" x14ac:dyDescent="0.25">
      <c r="A13" s="284"/>
      <c r="B13" s="248"/>
      <c r="C13" s="27" t="s">
        <v>48</v>
      </c>
      <c r="D13" s="183"/>
      <c r="E13" s="34">
        <v>423249</v>
      </c>
      <c r="F13" s="61">
        <v>124541584</v>
      </c>
      <c r="G13" s="61">
        <v>8252744</v>
      </c>
      <c r="H13" s="61">
        <v>116278872</v>
      </c>
      <c r="I13" s="61">
        <v>8603736</v>
      </c>
      <c r="J13" s="61">
        <v>16001136</v>
      </c>
      <c r="K13" s="61">
        <v>26560904</v>
      </c>
      <c r="L13" s="61">
        <v>37104080</v>
      </c>
      <c r="M13" s="61">
        <v>3921832</v>
      </c>
      <c r="N13" s="61">
        <v>10203432</v>
      </c>
      <c r="O13" s="61">
        <v>13883752</v>
      </c>
      <c r="P13" s="62">
        <v>51.498710659905001</v>
      </c>
      <c r="Q13" s="62">
        <v>55.593119990093903</v>
      </c>
      <c r="R13" s="63">
        <v>0.99875565296576096</v>
      </c>
      <c r="S13" s="35">
        <v>22.971</v>
      </c>
      <c r="T13" s="35">
        <v>20.924299999999999</v>
      </c>
      <c r="U13" s="35">
        <v>1.39327</v>
      </c>
      <c r="V13" s="35">
        <v>0.230964</v>
      </c>
      <c r="W13" s="35">
        <v>21.027999999999999</v>
      </c>
      <c r="X13" s="36">
        <v>20.144200000000001</v>
      </c>
      <c r="Y13" s="34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3"/>
      <c r="AK13" s="63"/>
      <c r="AL13" s="63"/>
      <c r="AM13" s="35"/>
      <c r="AN13" s="35"/>
      <c r="AO13" s="35"/>
      <c r="AP13" s="35"/>
      <c r="AQ13" s="35"/>
      <c r="AR13" s="36"/>
      <c r="AS13" s="47"/>
      <c r="AT13" s="94"/>
      <c r="AU13" s="95"/>
      <c r="AV13" s="47"/>
      <c r="AW13" s="94"/>
      <c r="AX13" s="95"/>
      <c r="AY13" s="34">
        <f t="shared" si="4"/>
        <v>-423249</v>
      </c>
      <c r="AZ13" s="61">
        <f t="shared" si="0"/>
        <v>-124541584</v>
      </c>
      <c r="BA13" s="61">
        <f t="shared" si="18"/>
        <v>-8252744</v>
      </c>
      <c r="BB13" s="61">
        <f t="shared" si="19"/>
        <v>-116278872</v>
      </c>
      <c r="BC13" s="61">
        <f t="shared" si="20"/>
        <v>-8603736</v>
      </c>
      <c r="BD13" s="61">
        <f t="shared" si="21"/>
        <v>-16001136</v>
      </c>
      <c r="BE13" s="61">
        <f t="shared" si="22"/>
        <v>-26560904</v>
      </c>
      <c r="BF13" s="61">
        <f t="shared" si="23"/>
        <v>-37104080</v>
      </c>
      <c r="BG13" s="61">
        <f t="shared" si="24"/>
        <v>-3921832</v>
      </c>
      <c r="BH13" s="61">
        <f t="shared" si="25"/>
        <v>-10203432</v>
      </c>
      <c r="BI13" s="61">
        <f t="shared" si="26"/>
        <v>-13883752</v>
      </c>
      <c r="BJ13" s="154">
        <f t="shared" si="27"/>
        <v>-51.498710659905001</v>
      </c>
      <c r="BK13" s="154">
        <f t="shared" si="28"/>
        <v>-55.593119990093903</v>
      </c>
      <c r="BL13" s="69">
        <f t="shared" si="29"/>
        <v>-0.99875565296576096</v>
      </c>
    </row>
    <row r="14" spans="1:64" ht="15.75" outlineLevel="1" thickBot="1" x14ac:dyDescent="0.3">
      <c r="A14" s="284"/>
      <c r="B14" s="249"/>
      <c r="C14" s="28" t="s">
        <v>49</v>
      </c>
      <c r="D14" s="44"/>
      <c r="E14" s="37">
        <v>423249</v>
      </c>
      <c r="F14" s="64">
        <v>148136352</v>
      </c>
      <c r="G14" s="64">
        <v>8252744</v>
      </c>
      <c r="H14" s="64">
        <v>139873640</v>
      </c>
      <c r="I14" s="64">
        <v>9727160</v>
      </c>
      <c r="J14" s="64">
        <v>19942816</v>
      </c>
      <c r="K14" s="64">
        <v>33011376</v>
      </c>
      <c r="L14" s="64">
        <v>45881152</v>
      </c>
      <c r="M14" s="64">
        <v>4334024</v>
      </c>
      <c r="N14" s="64">
        <v>11438528</v>
      </c>
      <c r="O14" s="64">
        <v>15538584</v>
      </c>
      <c r="P14" s="65">
        <v>53.240301031489601</v>
      </c>
      <c r="Q14" s="65">
        <v>57.201252274723601</v>
      </c>
      <c r="R14" s="66">
        <v>0.99900452347880897</v>
      </c>
      <c r="S14" s="22">
        <v>23.630700000000001</v>
      </c>
      <c r="T14" s="22">
        <v>21.5654</v>
      </c>
      <c r="U14" s="22">
        <v>1.4051199999999999</v>
      </c>
      <c r="V14" s="22">
        <v>0.23144899999999999</v>
      </c>
      <c r="W14" s="22">
        <v>21.749199999999998</v>
      </c>
      <c r="X14" s="38">
        <v>20.7058</v>
      </c>
      <c r="Y14" s="37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6"/>
      <c r="AK14" s="66"/>
      <c r="AL14" s="66"/>
      <c r="AM14" s="22"/>
      <c r="AN14" s="22"/>
      <c r="AO14" s="22"/>
      <c r="AP14" s="22"/>
      <c r="AQ14" s="22"/>
      <c r="AR14" s="38"/>
      <c r="AS14" s="47"/>
      <c r="AT14" s="94"/>
      <c r="AU14" s="95"/>
      <c r="AV14" s="47"/>
      <c r="AW14" s="94"/>
      <c r="AX14" s="95"/>
      <c r="AY14" s="34">
        <f t="shared" si="4"/>
        <v>-423249</v>
      </c>
      <c r="AZ14" s="64">
        <f t="shared" si="0"/>
        <v>-148136352</v>
      </c>
      <c r="BA14" s="64">
        <f t="shared" si="18"/>
        <v>-8252744</v>
      </c>
      <c r="BB14" s="64">
        <f t="shared" si="19"/>
        <v>-139873640</v>
      </c>
      <c r="BC14" s="64">
        <f t="shared" si="20"/>
        <v>-9727160</v>
      </c>
      <c r="BD14" s="64">
        <f t="shared" si="21"/>
        <v>-19942816</v>
      </c>
      <c r="BE14" s="64">
        <f t="shared" si="22"/>
        <v>-33011376</v>
      </c>
      <c r="BF14" s="64">
        <f t="shared" si="23"/>
        <v>-45881152</v>
      </c>
      <c r="BG14" s="64">
        <f t="shared" si="24"/>
        <v>-4334024</v>
      </c>
      <c r="BH14" s="64">
        <f t="shared" si="25"/>
        <v>-11438528</v>
      </c>
      <c r="BI14" s="64">
        <f t="shared" si="26"/>
        <v>-15538584</v>
      </c>
      <c r="BJ14" s="70">
        <f t="shared" si="27"/>
        <v>-53.240301031489601</v>
      </c>
      <c r="BK14" s="70">
        <f t="shared" si="28"/>
        <v>-57.201252274723601</v>
      </c>
      <c r="BL14" s="71">
        <f t="shared" si="29"/>
        <v>-0.99900452347880897</v>
      </c>
    </row>
    <row r="15" spans="1:64" x14ac:dyDescent="0.25">
      <c r="A15" s="284"/>
      <c r="B15" s="247" t="s">
        <v>1341</v>
      </c>
      <c r="C15" s="26" t="s">
        <v>45</v>
      </c>
      <c r="D15" s="43"/>
      <c r="E15" s="32">
        <v>1759625</v>
      </c>
      <c r="F15" s="58">
        <v>246701392</v>
      </c>
      <c r="G15" s="58">
        <v>44377120</v>
      </c>
      <c r="H15" s="58">
        <v>202308632</v>
      </c>
      <c r="I15" s="58">
        <v>8665476</v>
      </c>
      <c r="J15" s="58">
        <v>12400420</v>
      </c>
      <c r="K15" s="58">
        <v>17329240</v>
      </c>
      <c r="L15" s="58">
        <v>21168388</v>
      </c>
      <c r="M15" s="58">
        <v>5354424</v>
      </c>
      <c r="N15" s="58">
        <v>14715220</v>
      </c>
      <c r="O15" s="58">
        <v>21521148</v>
      </c>
      <c r="P15" s="59">
        <v>39.295885346199</v>
      </c>
      <c r="Q15" s="59">
        <v>44.012131874457701</v>
      </c>
      <c r="R15" s="60">
        <v>0.99674136829725402</v>
      </c>
      <c r="S15" s="21">
        <v>92.9221</v>
      </c>
      <c r="T15" s="21">
        <v>82.412899999999993</v>
      </c>
      <c r="U15" s="21">
        <v>4.5994900000000003</v>
      </c>
      <c r="V15" s="21">
        <v>1.2597100000000001</v>
      </c>
      <c r="W15" s="21">
        <v>85.549400000000006</v>
      </c>
      <c r="X15" s="33">
        <v>79.391900000000007</v>
      </c>
      <c r="Y15" s="32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60"/>
      <c r="AK15" s="60"/>
      <c r="AL15" s="60"/>
      <c r="AM15" s="21"/>
      <c r="AN15" s="21"/>
      <c r="AO15" s="21"/>
      <c r="AP15" s="21"/>
      <c r="AQ15" s="21"/>
      <c r="AR15" s="33"/>
      <c r="AS15" s="171" t="str">
        <f ca="1">bdRateHermiteNew(INDIRECT("F15:F19"), INDIRECT("P15:P19"), INDIRECT("Z15:Z19"), INDIRECT("AJ15:AJ19"))</f>
        <v>No Test</v>
      </c>
      <c r="AT15" s="172" t="str">
        <f ca="1">bdRateHermiteNew(INDIRECT("F15:F19"), INDIRECT("Q15:Q19"), INDIRECT("Z15:Z19"), INDIRECT("AK15:AK19"))</f>
        <v>No Test</v>
      </c>
      <c r="AU15" s="173" t="str">
        <f ca="1">bdRateHermiteNew(INDIRECT("F15:F19"), INDIRECT("R15:R19"), INDIRECT("Z15:Z19"), INDIRECT("AL15:AL19"))</f>
        <v>No Test</v>
      </c>
      <c r="AV15" s="171" t="str">
        <f ca="1">bdRateHermiteNew(INDIRECT("H15:H19"), INDIRECT("P15:P19"), INDIRECT("AB15:AB19"), INDIRECT("AJ15:AJ19"))</f>
        <v>No Test</v>
      </c>
      <c r="AW15" s="172" t="str">
        <f ca="1">bdRateHermiteNew(INDIRECT("H15:H19"), INDIRECT("Q15:Q19"), INDIRECT("AB15:AB19"), INDIRECT("AK15:AK19"))</f>
        <v>No Test</v>
      </c>
      <c r="AX15" s="173" t="str">
        <f ca="1">bdRateHermiteNew(INDIRECT("H15:H19"), INDIRECT("R15:R19"), INDIRECT("AB15:AB19"), INDIRECT("AL15:AL19"))</f>
        <v>No Test</v>
      </c>
      <c r="AY15" s="32">
        <f t="shared" si="4"/>
        <v>-1759625</v>
      </c>
      <c r="AZ15" s="58">
        <f t="shared" si="0"/>
        <v>-246701392</v>
      </c>
      <c r="BA15" s="58">
        <f t="shared" si="18"/>
        <v>-44377120</v>
      </c>
      <c r="BB15" s="58">
        <f t="shared" si="19"/>
        <v>-202308632</v>
      </c>
      <c r="BC15" s="58">
        <f t="shared" si="20"/>
        <v>-8665476</v>
      </c>
      <c r="BD15" s="58">
        <f t="shared" si="21"/>
        <v>-12400420</v>
      </c>
      <c r="BE15" s="58">
        <f t="shared" si="22"/>
        <v>-17329240</v>
      </c>
      <c r="BF15" s="58">
        <f t="shared" si="23"/>
        <v>-21168388</v>
      </c>
      <c r="BG15" s="58">
        <f t="shared" si="24"/>
        <v>-5354424</v>
      </c>
      <c r="BH15" s="58">
        <f t="shared" si="25"/>
        <v>-14715220</v>
      </c>
      <c r="BI15" s="58">
        <f t="shared" si="26"/>
        <v>-21521148</v>
      </c>
      <c r="BJ15" s="67">
        <f t="shared" si="27"/>
        <v>-39.295885346199</v>
      </c>
      <c r="BK15" s="67">
        <f t="shared" si="28"/>
        <v>-44.012131874457701</v>
      </c>
      <c r="BL15" s="68">
        <f t="shared" si="29"/>
        <v>-0.99674136829725402</v>
      </c>
    </row>
    <row r="16" spans="1:64" outlineLevel="1" x14ac:dyDescent="0.25">
      <c r="A16" s="284"/>
      <c r="B16" s="248"/>
      <c r="C16" s="27" t="s">
        <v>46</v>
      </c>
      <c r="D16" s="183"/>
      <c r="E16" s="34">
        <v>1759625</v>
      </c>
      <c r="F16" s="61">
        <v>330421640</v>
      </c>
      <c r="G16" s="61">
        <v>44377120</v>
      </c>
      <c r="H16" s="61">
        <v>286028880</v>
      </c>
      <c r="I16" s="61">
        <v>11234792</v>
      </c>
      <c r="J16" s="61">
        <v>19743800</v>
      </c>
      <c r="K16" s="61">
        <v>28738944</v>
      </c>
      <c r="L16" s="61">
        <v>36117684</v>
      </c>
      <c r="M16" s="61">
        <v>6003028</v>
      </c>
      <c r="N16" s="61">
        <v>16784832</v>
      </c>
      <c r="O16" s="61">
        <v>24391360</v>
      </c>
      <c r="P16" s="62">
        <v>45.898633356605004</v>
      </c>
      <c r="Q16" s="62">
        <v>50.515019327195603</v>
      </c>
      <c r="R16" s="63">
        <v>0.99844508960272604</v>
      </c>
      <c r="S16" s="35">
        <v>93.608400000000003</v>
      </c>
      <c r="T16" s="35">
        <v>81.3476</v>
      </c>
      <c r="U16" s="35">
        <v>4.59579</v>
      </c>
      <c r="V16" s="35">
        <v>1.2579400000000001</v>
      </c>
      <c r="W16" s="35">
        <v>86.173000000000002</v>
      </c>
      <c r="X16" s="36">
        <v>78.188000000000002</v>
      </c>
      <c r="Y16" s="34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3"/>
      <c r="AK16" s="63"/>
      <c r="AL16" s="63"/>
      <c r="AM16" s="35"/>
      <c r="AN16" s="35"/>
      <c r="AO16" s="35"/>
      <c r="AP16" s="35"/>
      <c r="AQ16" s="35"/>
      <c r="AR16" s="36"/>
      <c r="AS16" s="47"/>
      <c r="AT16" s="94"/>
      <c r="AU16" s="95"/>
      <c r="AV16" s="47"/>
      <c r="AW16" s="94"/>
      <c r="AX16" s="95"/>
      <c r="AY16" s="34">
        <f t="shared" si="4"/>
        <v>-1759625</v>
      </c>
      <c r="AZ16" s="61">
        <f t="shared" si="0"/>
        <v>-330421640</v>
      </c>
      <c r="BA16" s="61">
        <f t="shared" si="18"/>
        <v>-44377120</v>
      </c>
      <c r="BB16" s="61">
        <f t="shared" si="19"/>
        <v>-286028880</v>
      </c>
      <c r="BC16" s="61">
        <f t="shared" si="20"/>
        <v>-11234792</v>
      </c>
      <c r="BD16" s="61">
        <f t="shared" si="21"/>
        <v>-19743800</v>
      </c>
      <c r="BE16" s="61">
        <f t="shared" si="22"/>
        <v>-28738944</v>
      </c>
      <c r="BF16" s="61">
        <f t="shared" si="23"/>
        <v>-36117684</v>
      </c>
      <c r="BG16" s="61">
        <f t="shared" si="24"/>
        <v>-6003028</v>
      </c>
      <c r="BH16" s="61">
        <f t="shared" si="25"/>
        <v>-16784832</v>
      </c>
      <c r="BI16" s="61">
        <f t="shared" si="26"/>
        <v>-24391360</v>
      </c>
      <c r="BJ16" s="154">
        <f t="shared" si="27"/>
        <v>-45.898633356605004</v>
      </c>
      <c r="BK16" s="154">
        <f t="shared" si="28"/>
        <v>-50.515019327195603</v>
      </c>
      <c r="BL16" s="69">
        <f t="shared" si="29"/>
        <v>-0.99844508960272604</v>
      </c>
    </row>
    <row r="17" spans="1:64" outlineLevel="1" x14ac:dyDescent="0.25">
      <c r="A17" s="284"/>
      <c r="B17" s="248"/>
      <c r="C17" s="27" t="s">
        <v>47</v>
      </c>
      <c r="D17" s="183"/>
      <c r="E17" s="34">
        <v>1759625</v>
      </c>
      <c r="F17" s="61">
        <v>430799544</v>
      </c>
      <c r="G17" s="61">
        <v>44377120</v>
      </c>
      <c r="H17" s="61">
        <v>386406784</v>
      </c>
      <c r="I17" s="61">
        <v>13950440</v>
      </c>
      <c r="J17" s="61">
        <v>29109060</v>
      </c>
      <c r="K17" s="61">
        <v>42633516</v>
      </c>
      <c r="L17" s="61">
        <v>54046288</v>
      </c>
      <c r="M17" s="61">
        <v>6792744</v>
      </c>
      <c r="N17" s="61">
        <v>19037516</v>
      </c>
      <c r="O17" s="61">
        <v>27633828</v>
      </c>
      <c r="P17" s="62">
        <v>50.184845295618501</v>
      </c>
      <c r="Q17" s="62">
        <v>54.433693254423403</v>
      </c>
      <c r="R17" s="63">
        <v>0.99887658398003698</v>
      </c>
      <c r="S17" s="35">
        <v>95.867800000000003</v>
      </c>
      <c r="T17" s="35">
        <v>86.240899999999996</v>
      </c>
      <c r="U17" s="35">
        <v>4.5759800000000004</v>
      </c>
      <c r="V17" s="35">
        <v>1.2625999999999999</v>
      </c>
      <c r="W17" s="35">
        <v>88.217299999999994</v>
      </c>
      <c r="X17" s="36">
        <v>82.589200000000005</v>
      </c>
      <c r="Y17" s="34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3"/>
      <c r="AK17" s="63"/>
      <c r="AL17" s="63"/>
      <c r="AM17" s="35"/>
      <c r="AN17" s="35"/>
      <c r="AO17" s="35"/>
      <c r="AP17" s="35"/>
      <c r="AQ17" s="35"/>
      <c r="AR17" s="36"/>
      <c r="AS17" s="47"/>
      <c r="AT17" s="94"/>
      <c r="AU17" s="95"/>
      <c r="AV17" s="47"/>
      <c r="AW17" s="94"/>
      <c r="AX17" s="95"/>
      <c r="AY17" s="34">
        <f t="shared" si="4"/>
        <v>-1759625</v>
      </c>
      <c r="AZ17" s="61">
        <f t="shared" si="0"/>
        <v>-430799544</v>
      </c>
      <c r="BA17" s="61">
        <f t="shared" si="18"/>
        <v>-44377120</v>
      </c>
      <c r="BB17" s="61">
        <f t="shared" si="19"/>
        <v>-386406784</v>
      </c>
      <c r="BC17" s="61">
        <f t="shared" si="20"/>
        <v>-13950440</v>
      </c>
      <c r="BD17" s="61">
        <f t="shared" si="21"/>
        <v>-29109060</v>
      </c>
      <c r="BE17" s="61">
        <f t="shared" si="22"/>
        <v>-42633516</v>
      </c>
      <c r="BF17" s="61">
        <f t="shared" si="23"/>
        <v>-54046288</v>
      </c>
      <c r="BG17" s="61">
        <f t="shared" si="24"/>
        <v>-6792744</v>
      </c>
      <c r="BH17" s="61">
        <f t="shared" si="25"/>
        <v>-19037516</v>
      </c>
      <c r="BI17" s="61">
        <f t="shared" si="26"/>
        <v>-27633828</v>
      </c>
      <c r="BJ17" s="154">
        <f t="shared" si="27"/>
        <v>-50.184845295618501</v>
      </c>
      <c r="BK17" s="154">
        <f t="shared" si="28"/>
        <v>-54.433693254423403</v>
      </c>
      <c r="BL17" s="69">
        <f t="shared" si="29"/>
        <v>-0.99887658398003698</v>
      </c>
    </row>
    <row r="18" spans="1:64" outlineLevel="1" x14ac:dyDescent="0.25">
      <c r="A18" s="284"/>
      <c r="B18" s="248"/>
      <c r="C18" s="27" t="s">
        <v>48</v>
      </c>
      <c r="D18" s="183"/>
      <c r="E18" s="34">
        <v>1759625</v>
      </c>
      <c r="F18" s="61">
        <v>539983088</v>
      </c>
      <c r="G18" s="61">
        <v>44377120</v>
      </c>
      <c r="H18" s="61">
        <v>495590440</v>
      </c>
      <c r="I18" s="61">
        <v>16647044</v>
      </c>
      <c r="J18" s="61">
        <v>38687424</v>
      </c>
      <c r="K18" s="61">
        <v>57640436</v>
      </c>
      <c r="L18" s="61">
        <v>74562728</v>
      </c>
      <c r="M18" s="61">
        <v>7650012</v>
      </c>
      <c r="N18" s="61">
        <v>21497448</v>
      </c>
      <c r="O18" s="61">
        <v>31110128</v>
      </c>
      <c r="P18" s="62">
        <v>53.380093424906903</v>
      </c>
      <c r="Q18" s="62">
        <v>57.2914432843273</v>
      </c>
      <c r="R18" s="63">
        <v>0.99908400921184903</v>
      </c>
      <c r="S18" s="35">
        <v>87.605999999999995</v>
      </c>
      <c r="T18" s="35">
        <v>89.121600000000001</v>
      </c>
      <c r="U18" s="35">
        <v>4.2032699999999998</v>
      </c>
      <c r="V18" s="35">
        <v>1.25651</v>
      </c>
      <c r="W18" s="35">
        <v>80.532700000000006</v>
      </c>
      <c r="X18" s="36">
        <v>85.095699999999994</v>
      </c>
      <c r="Y18" s="34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3"/>
      <c r="AK18" s="63"/>
      <c r="AL18" s="63"/>
      <c r="AM18" s="35"/>
      <c r="AN18" s="35"/>
      <c r="AO18" s="35"/>
      <c r="AP18" s="35"/>
      <c r="AQ18" s="35"/>
      <c r="AR18" s="36"/>
      <c r="AS18" s="47"/>
      <c r="AT18" s="94"/>
      <c r="AU18" s="95"/>
      <c r="AV18" s="47"/>
      <c r="AW18" s="94"/>
      <c r="AX18" s="95"/>
      <c r="AY18" s="34">
        <f t="shared" si="4"/>
        <v>-1759625</v>
      </c>
      <c r="AZ18" s="61">
        <f t="shared" si="0"/>
        <v>-539983088</v>
      </c>
      <c r="BA18" s="61">
        <f t="shared" si="18"/>
        <v>-44377120</v>
      </c>
      <c r="BB18" s="61">
        <f t="shared" si="19"/>
        <v>-495590440</v>
      </c>
      <c r="BC18" s="61">
        <f t="shared" si="20"/>
        <v>-16647044</v>
      </c>
      <c r="BD18" s="61">
        <f t="shared" si="21"/>
        <v>-38687424</v>
      </c>
      <c r="BE18" s="61">
        <f t="shared" si="22"/>
        <v>-57640436</v>
      </c>
      <c r="BF18" s="61">
        <f t="shared" si="23"/>
        <v>-74562728</v>
      </c>
      <c r="BG18" s="61">
        <f t="shared" si="24"/>
        <v>-7650012</v>
      </c>
      <c r="BH18" s="61">
        <f t="shared" si="25"/>
        <v>-21497448</v>
      </c>
      <c r="BI18" s="61">
        <f t="shared" si="26"/>
        <v>-31110128</v>
      </c>
      <c r="BJ18" s="154">
        <f t="shared" si="27"/>
        <v>-53.380093424906903</v>
      </c>
      <c r="BK18" s="154">
        <f t="shared" si="28"/>
        <v>-57.2914432843273</v>
      </c>
      <c r="BL18" s="69">
        <f t="shared" si="29"/>
        <v>-0.99908400921184903</v>
      </c>
    </row>
    <row r="19" spans="1:64" ht="15.75" outlineLevel="1" thickBot="1" x14ac:dyDescent="0.3">
      <c r="A19" s="285"/>
      <c r="B19" s="249"/>
      <c r="C19" s="28" t="s">
        <v>49</v>
      </c>
      <c r="D19" s="44"/>
      <c r="E19" s="37">
        <v>1759625</v>
      </c>
      <c r="F19" s="64">
        <v>641198792</v>
      </c>
      <c r="G19" s="64">
        <v>44377120</v>
      </c>
      <c r="H19" s="64">
        <v>596806144</v>
      </c>
      <c r="I19" s="64">
        <v>19113316</v>
      </c>
      <c r="J19" s="64">
        <v>45855128</v>
      </c>
      <c r="K19" s="64">
        <v>71234072</v>
      </c>
      <c r="L19" s="64">
        <v>94810340</v>
      </c>
      <c r="M19" s="64">
        <v>8550888</v>
      </c>
      <c r="N19" s="64">
        <v>24159568</v>
      </c>
      <c r="O19" s="64">
        <v>34679760</v>
      </c>
      <c r="P19" s="65">
        <v>55.414544674987702</v>
      </c>
      <c r="Q19" s="65">
        <v>59.159523502875601</v>
      </c>
      <c r="R19" s="66">
        <v>0.99931510343208496</v>
      </c>
      <c r="S19" s="22">
        <v>90.127799999999993</v>
      </c>
      <c r="T19" s="22">
        <v>91.94</v>
      </c>
      <c r="U19" s="22">
        <v>4.2695100000000004</v>
      </c>
      <c r="V19" s="22">
        <v>1.2655700000000001</v>
      </c>
      <c r="W19" s="22">
        <v>83.4756</v>
      </c>
      <c r="X19" s="38">
        <v>87.528199999999998</v>
      </c>
      <c r="Y19" s="37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6"/>
      <c r="AK19" s="66"/>
      <c r="AL19" s="66"/>
      <c r="AM19" s="22"/>
      <c r="AN19" s="22"/>
      <c r="AO19" s="22"/>
      <c r="AP19" s="22"/>
      <c r="AQ19" s="22"/>
      <c r="AR19" s="38"/>
      <c r="AS19" s="48"/>
      <c r="AT19" s="94"/>
      <c r="AU19" s="95"/>
      <c r="AV19" s="48"/>
      <c r="AW19" s="94"/>
      <c r="AX19" s="95"/>
      <c r="AY19" s="34">
        <f t="shared" si="4"/>
        <v>-1759625</v>
      </c>
      <c r="AZ19" s="64">
        <f t="shared" si="0"/>
        <v>-641198792</v>
      </c>
      <c r="BA19" s="64">
        <f t="shared" si="18"/>
        <v>-44377120</v>
      </c>
      <c r="BB19" s="64">
        <f t="shared" si="19"/>
        <v>-596806144</v>
      </c>
      <c r="BC19" s="64">
        <f t="shared" si="20"/>
        <v>-19113316</v>
      </c>
      <c r="BD19" s="64">
        <f t="shared" si="21"/>
        <v>-45855128</v>
      </c>
      <c r="BE19" s="64">
        <f t="shared" si="22"/>
        <v>-71234072</v>
      </c>
      <c r="BF19" s="64">
        <f t="shared" si="23"/>
        <v>-94810340</v>
      </c>
      <c r="BG19" s="64">
        <f t="shared" si="24"/>
        <v>-8550888</v>
      </c>
      <c r="BH19" s="64">
        <f t="shared" si="25"/>
        <v>-24159568</v>
      </c>
      <c r="BI19" s="64">
        <f t="shared" si="26"/>
        <v>-34679760</v>
      </c>
      <c r="BJ19" s="70">
        <f t="shared" si="27"/>
        <v>-55.414544674987702</v>
      </c>
      <c r="BK19" s="70">
        <f t="shared" si="28"/>
        <v>-59.159523502875601</v>
      </c>
      <c r="BL19" s="71">
        <f t="shared" si="29"/>
        <v>-0.99931510343208496</v>
      </c>
    </row>
    <row r="20" spans="1:64" x14ac:dyDescent="0.25">
      <c r="A20" s="241" t="s">
        <v>1251</v>
      </c>
      <c r="B20" s="247" t="s">
        <v>1245</v>
      </c>
      <c r="C20" s="26" t="s">
        <v>45</v>
      </c>
      <c r="D20" s="43"/>
      <c r="E20" s="32">
        <v>4899964</v>
      </c>
      <c r="F20" s="58">
        <v>640569504</v>
      </c>
      <c r="G20" s="58">
        <v>95574896</v>
      </c>
      <c r="H20" s="58">
        <v>544945224</v>
      </c>
      <c r="I20" s="58">
        <v>4755877</v>
      </c>
      <c r="J20" s="58">
        <v>6626308</v>
      </c>
      <c r="K20" s="58">
        <v>12139987</v>
      </c>
      <c r="L20" s="58">
        <v>18129901</v>
      </c>
      <c r="M20" s="58">
        <v>3099237</v>
      </c>
      <c r="N20" s="58">
        <v>8739653</v>
      </c>
      <c r="O20" s="58">
        <v>14627190</v>
      </c>
      <c r="P20" s="59">
        <v>34.412012177107897</v>
      </c>
      <c r="Q20" s="59">
        <v>38.992409002155199</v>
      </c>
      <c r="R20" s="60">
        <v>0.98676006258873195</v>
      </c>
      <c r="S20" s="21">
        <v>228.50200000000001</v>
      </c>
      <c r="T20" s="21">
        <v>219.886</v>
      </c>
      <c r="U20" s="21">
        <v>10.008599999999999</v>
      </c>
      <c r="V20" s="21">
        <v>4.0154199999999998</v>
      </c>
      <c r="W20" s="21">
        <v>208.26900000000001</v>
      </c>
      <c r="X20" s="33">
        <v>208.86799999999999</v>
      </c>
      <c r="Y20" s="32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60"/>
      <c r="AK20" s="60"/>
      <c r="AL20" s="60"/>
      <c r="AM20" s="21"/>
      <c r="AN20" s="21"/>
      <c r="AO20" s="21"/>
      <c r="AP20" s="21"/>
      <c r="AQ20" s="21"/>
      <c r="AR20" s="33"/>
      <c r="AS20" s="171" t="str">
        <f ca="1">bdRateHermiteNew(INDIRECT("F20:F24"), INDIRECT("P20:P24"), INDIRECT("Z20:Z24"), INDIRECT("AJ20:AJ24"))</f>
        <v>No Test</v>
      </c>
      <c r="AT20" s="172" t="str">
        <f ca="1">bdRateHermiteNew(INDIRECT("F20:F24"), INDIRECT("Q20:Q24"), INDIRECT("Z20:Z24"), INDIRECT("AK20:AK24"))</f>
        <v>No Test</v>
      </c>
      <c r="AU20" s="173" t="str">
        <f ca="1">bdRateHermiteNew(INDIRECT("F20:F24"), INDIRECT("R20:R24"), INDIRECT("Z20:Z24"), INDIRECT("AL20:AL24"))</f>
        <v>No Test</v>
      </c>
      <c r="AV20" s="171" t="str">
        <f ca="1">bdRateHermiteNew(INDIRECT("H20:H24"), INDIRECT("P20:P24"), INDIRECT("AB20:AB24"), INDIRECT("AJ20:AJ24"))</f>
        <v>No Test</v>
      </c>
      <c r="AW20" s="172" t="str">
        <f ca="1">bdRateHermiteNew(INDIRECT("H20:H24"), INDIRECT("Q20:Q24"), INDIRECT("AB20:AB24"), INDIRECT("AK20:AK24"))</f>
        <v>No Test</v>
      </c>
      <c r="AX20" s="173" t="str">
        <f ca="1">bdRateHermiteNew(INDIRECT("H20:H24"), INDIRECT("R20:R24"), INDIRECT("AB20:AB24"), INDIRECT("AL20:AL24"))</f>
        <v>No Test</v>
      </c>
      <c r="AY20" s="32">
        <f t="shared" si="4"/>
        <v>-4899964</v>
      </c>
      <c r="AZ20" s="58">
        <f t="shared" si="0"/>
        <v>-640569504</v>
      </c>
      <c r="BA20" s="58">
        <f t="shared" si="18"/>
        <v>-95574896</v>
      </c>
      <c r="BB20" s="58">
        <f t="shared" si="19"/>
        <v>-544945224</v>
      </c>
      <c r="BC20" s="58">
        <f t="shared" si="20"/>
        <v>-4755877</v>
      </c>
      <c r="BD20" s="58">
        <f t="shared" si="21"/>
        <v>-6626308</v>
      </c>
      <c r="BE20" s="58">
        <f t="shared" si="22"/>
        <v>-12139987</v>
      </c>
      <c r="BF20" s="58">
        <f t="shared" si="23"/>
        <v>-18129901</v>
      </c>
      <c r="BG20" s="58">
        <f t="shared" si="24"/>
        <v>-3099237</v>
      </c>
      <c r="BH20" s="58">
        <f t="shared" si="25"/>
        <v>-8739653</v>
      </c>
      <c r="BI20" s="58">
        <f t="shared" si="26"/>
        <v>-14627190</v>
      </c>
      <c r="BJ20" s="67">
        <f t="shared" si="27"/>
        <v>-34.412012177107897</v>
      </c>
      <c r="BK20" s="67">
        <f t="shared" si="28"/>
        <v>-38.992409002155199</v>
      </c>
      <c r="BL20" s="68">
        <f t="shared" si="29"/>
        <v>-0.98676006258873195</v>
      </c>
    </row>
    <row r="21" spans="1:64" outlineLevel="1" x14ac:dyDescent="0.25">
      <c r="A21" s="242"/>
      <c r="B21" s="248"/>
      <c r="C21" s="27" t="s">
        <v>46</v>
      </c>
      <c r="D21" s="183"/>
      <c r="E21" s="34">
        <v>4899964</v>
      </c>
      <c r="F21" s="61">
        <v>878595808</v>
      </c>
      <c r="G21" s="61">
        <v>95574896</v>
      </c>
      <c r="H21" s="61">
        <v>782971528</v>
      </c>
      <c r="I21" s="61">
        <v>6763252</v>
      </c>
      <c r="J21" s="61">
        <v>11149379</v>
      </c>
      <c r="K21" s="61">
        <v>19916599</v>
      </c>
      <c r="L21" s="61">
        <v>29289575</v>
      </c>
      <c r="M21" s="61">
        <v>3677082</v>
      </c>
      <c r="N21" s="61">
        <v>10479318</v>
      </c>
      <c r="O21" s="61">
        <v>16596236</v>
      </c>
      <c r="P21" s="62">
        <v>38.052957132948301</v>
      </c>
      <c r="Q21" s="62">
        <v>42.644505133555199</v>
      </c>
      <c r="R21" s="63">
        <v>0.99276825170893801</v>
      </c>
      <c r="S21" s="35">
        <v>230.518</v>
      </c>
      <c r="T21" s="35">
        <v>206.958</v>
      </c>
      <c r="U21" s="35">
        <v>10.1328</v>
      </c>
      <c r="V21" s="35">
        <v>3.7215699999999998</v>
      </c>
      <c r="W21" s="35">
        <v>212.083</v>
      </c>
      <c r="X21" s="36">
        <v>197.31100000000001</v>
      </c>
      <c r="Y21" s="34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3"/>
      <c r="AK21" s="63"/>
      <c r="AL21" s="63"/>
      <c r="AM21" s="35"/>
      <c r="AN21" s="35"/>
      <c r="AO21" s="35"/>
      <c r="AP21" s="35"/>
      <c r="AQ21" s="35"/>
      <c r="AR21" s="36"/>
      <c r="AS21" s="47"/>
      <c r="AT21" s="94"/>
      <c r="AU21" s="95"/>
      <c r="AV21" s="47"/>
      <c r="AW21" s="94"/>
      <c r="AX21" s="95"/>
      <c r="AY21" s="34">
        <f t="shared" si="4"/>
        <v>-4899964</v>
      </c>
      <c r="AZ21" s="61">
        <f t="shared" si="0"/>
        <v>-878595808</v>
      </c>
      <c r="BA21" s="61">
        <f t="shared" si="18"/>
        <v>-95574896</v>
      </c>
      <c r="BB21" s="61">
        <f t="shared" si="19"/>
        <v>-782971528</v>
      </c>
      <c r="BC21" s="61">
        <f t="shared" si="20"/>
        <v>-6763252</v>
      </c>
      <c r="BD21" s="61">
        <f t="shared" si="21"/>
        <v>-11149379</v>
      </c>
      <c r="BE21" s="61">
        <f t="shared" si="22"/>
        <v>-19916599</v>
      </c>
      <c r="BF21" s="61">
        <f t="shared" si="23"/>
        <v>-29289575</v>
      </c>
      <c r="BG21" s="61">
        <f t="shared" si="24"/>
        <v>-3677082</v>
      </c>
      <c r="BH21" s="61">
        <f t="shared" si="25"/>
        <v>-10479318</v>
      </c>
      <c r="BI21" s="61">
        <f t="shared" si="26"/>
        <v>-16596236</v>
      </c>
      <c r="BJ21" s="154">
        <f t="shared" si="27"/>
        <v>-38.052957132948301</v>
      </c>
      <c r="BK21" s="154">
        <f t="shared" si="28"/>
        <v>-42.644505133555199</v>
      </c>
      <c r="BL21" s="69">
        <f t="shared" si="29"/>
        <v>-0.99276825170893801</v>
      </c>
    </row>
    <row r="22" spans="1:64" outlineLevel="1" x14ac:dyDescent="0.25">
      <c r="A22" s="242"/>
      <c r="B22" s="248"/>
      <c r="C22" s="27" t="s">
        <v>47</v>
      </c>
      <c r="D22" s="183"/>
      <c r="E22" s="34">
        <v>4899964</v>
      </c>
      <c r="F22" s="61">
        <v>1161257000</v>
      </c>
      <c r="G22" s="61">
        <v>95574896</v>
      </c>
      <c r="H22" s="61">
        <v>1065632720</v>
      </c>
      <c r="I22" s="61">
        <v>8770991</v>
      </c>
      <c r="J22" s="61">
        <v>16835788</v>
      </c>
      <c r="K22" s="61">
        <v>29614774</v>
      </c>
      <c r="L22" s="61">
        <v>43072603</v>
      </c>
      <c r="M22" s="61">
        <v>4137402</v>
      </c>
      <c r="N22" s="61">
        <v>11916743</v>
      </c>
      <c r="O22" s="61">
        <v>18855789</v>
      </c>
      <c r="P22" s="62">
        <v>39.560215083236898</v>
      </c>
      <c r="Q22" s="62">
        <v>44.153778753592398</v>
      </c>
      <c r="R22" s="63">
        <v>0.99436938675014397</v>
      </c>
      <c r="S22" s="35">
        <v>225.304</v>
      </c>
      <c r="T22" s="35">
        <v>229.55099999999999</v>
      </c>
      <c r="U22" s="35">
        <v>9.6139700000000001</v>
      </c>
      <c r="V22" s="35">
        <v>4.1350699999999998</v>
      </c>
      <c r="W22" s="35">
        <v>208.565</v>
      </c>
      <c r="X22" s="36">
        <v>217.85599999999999</v>
      </c>
      <c r="Y22" s="34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3"/>
      <c r="AK22" s="63"/>
      <c r="AL22" s="63"/>
      <c r="AM22" s="35"/>
      <c r="AN22" s="35"/>
      <c r="AO22" s="35"/>
      <c r="AP22" s="35"/>
      <c r="AQ22" s="35"/>
      <c r="AR22" s="36"/>
      <c r="AS22" s="47"/>
      <c r="AT22" s="94"/>
      <c r="AU22" s="95"/>
      <c r="AV22" s="47"/>
      <c r="AW22" s="94"/>
      <c r="AX22" s="95"/>
      <c r="AY22" s="34">
        <f t="shared" si="4"/>
        <v>-4899964</v>
      </c>
      <c r="AZ22" s="61">
        <f t="shared" si="0"/>
        <v>-1161257000</v>
      </c>
      <c r="BA22" s="61">
        <f t="shared" si="18"/>
        <v>-95574896</v>
      </c>
      <c r="BB22" s="61">
        <f t="shared" si="19"/>
        <v>-1065632720</v>
      </c>
      <c r="BC22" s="61">
        <f t="shared" si="20"/>
        <v>-8770991</v>
      </c>
      <c r="BD22" s="61">
        <f t="shared" si="21"/>
        <v>-16835788</v>
      </c>
      <c r="BE22" s="61">
        <f t="shared" si="22"/>
        <v>-29614774</v>
      </c>
      <c r="BF22" s="61">
        <f t="shared" si="23"/>
        <v>-43072603</v>
      </c>
      <c r="BG22" s="61">
        <f t="shared" si="24"/>
        <v>-4137402</v>
      </c>
      <c r="BH22" s="61">
        <f t="shared" si="25"/>
        <v>-11916743</v>
      </c>
      <c r="BI22" s="61">
        <f t="shared" si="26"/>
        <v>-18855789</v>
      </c>
      <c r="BJ22" s="154">
        <f t="shared" si="27"/>
        <v>-39.560215083236898</v>
      </c>
      <c r="BK22" s="154">
        <f t="shared" si="28"/>
        <v>-44.153778753592398</v>
      </c>
      <c r="BL22" s="69">
        <f t="shared" si="29"/>
        <v>-0.99436938675014397</v>
      </c>
    </row>
    <row r="23" spans="1:64" outlineLevel="1" x14ac:dyDescent="0.25">
      <c r="A23" s="242"/>
      <c r="B23" s="248"/>
      <c r="C23" s="27" t="s">
        <v>48</v>
      </c>
      <c r="D23" s="183"/>
      <c r="E23" s="34">
        <v>4899964</v>
      </c>
      <c r="F23" s="61">
        <v>1464726912</v>
      </c>
      <c r="G23" s="61">
        <v>95574896</v>
      </c>
      <c r="H23" s="61">
        <v>1369102744</v>
      </c>
      <c r="I23" s="61">
        <v>10473788</v>
      </c>
      <c r="J23" s="61">
        <v>23162882</v>
      </c>
      <c r="K23" s="61">
        <v>40186767</v>
      </c>
      <c r="L23" s="61">
        <v>57862660</v>
      </c>
      <c r="M23" s="61">
        <v>4680347</v>
      </c>
      <c r="N23" s="61">
        <v>13519387</v>
      </c>
      <c r="O23" s="61">
        <v>21252012</v>
      </c>
      <c r="P23" s="62">
        <v>40.041399780600401</v>
      </c>
      <c r="Q23" s="62">
        <v>44.638059098662097</v>
      </c>
      <c r="R23" s="63">
        <v>0.99480237807292704</v>
      </c>
      <c r="S23" s="35">
        <v>239.86199999999999</v>
      </c>
      <c r="T23" s="35">
        <v>240.88</v>
      </c>
      <c r="U23" s="35">
        <v>9.8878199999999996</v>
      </c>
      <c r="V23" s="35">
        <v>4.0103600000000004</v>
      </c>
      <c r="W23" s="35">
        <v>221.23500000000001</v>
      </c>
      <c r="X23" s="36">
        <v>226.501</v>
      </c>
      <c r="Y23" s="34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3"/>
      <c r="AK23" s="63"/>
      <c r="AL23" s="63"/>
      <c r="AM23" s="35"/>
      <c r="AN23" s="35"/>
      <c r="AO23" s="35"/>
      <c r="AP23" s="35"/>
      <c r="AQ23" s="35"/>
      <c r="AR23" s="36"/>
      <c r="AS23" s="47"/>
      <c r="AT23" s="94"/>
      <c r="AU23" s="95"/>
      <c r="AV23" s="47"/>
      <c r="AW23" s="94"/>
      <c r="AX23" s="95"/>
      <c r="AY23" s="34">
        <f t="shared" si="4"/>
        <v>-4899964</v>
      </c>
      <c r="AZ23" s="61">
        <f t="shared" si="0"/>
        <v>-1464726912</v>
      </c>
      <c r="BA23" s="61">
        <f t="shared" si="18"/>
        <v>-95574896</v>
      </c>
      <c r="BB23" s="61">
        <f t="shared" si="19"/>
        <v>-1369102744</v>
      </c>
      <c r="BC23" s="61">
        <f t="shared" si="20"/>
        <v>-10473788</v>
      </c>
      <c r="BD23" s="61">
        <f t="shared" si="21"/>
        <v>-23162882</v>
      </c>
      <c r="BE23" s="61">
        <f t="shared" si="22"/>
        <v>-40186767</v>
      </c>
      <c r="BF23" s="61">
        <f t="shared" si="23"/>
        <v>-57862660</v>
      </c>
      <c r="BG23" s="61">
        <f t="shared" si="24"/>
        <v>-4680347</v>
      </c>
      <c r="BH23" s="61">
        <f t="shared" si="25"/>
        <v>-13519387</v>
      </c>
      <c r="BI23" s="61">
        <f t="shared" si="26"/>
        <v>-21252012</v>
      </c>
      <c r="BJ23" s="154">
        <f t="shared" si="27"/>
        <v>-40.041399780600401</v>
      </c>
      <c r="BK23" s="154">
        <f t="shared" si="28"/>
        <v>-44.638059098662097</v>
      </c>
      <c r="BL23" s="69">
        <f t="shared" si="29"/>
        <v>-0.99480237807292704</v>
      </c>
    </row>
    <row r="24" spans="1:64" ht="15.75" outlineLevel="1" thickBot="1" x14ac:dyDescent="0.3">
      <c r="A24" s="242"/>
      <c r="B24" s="249"/>
      <c r="C24" s="28" t="s">
        <v>49</v>
      </c>
      <c r="D24" s="44"/>
      <c r="E24" s="37">
        <v>4899964</v>
      </c>
      <c r="F24" s="64">
        <v>1733025480</v>
      </c>
      <c r="G24" s="64">
        <v>95574896</v>
      </c>
      <c r="H24" s="64">
        <v>1637401312</v>
      </c>
      <c r="I24" s="64">
        <v>11992567</v>
      </c>
      <c r="J24" s="64">
        <v>28737076</v>
      </c>
      <c r="K24" s="64">
        <v>49261977</v>
      </c>
      <c r="L24" s="64">
        <v>70378212</v>
      </c>
      <c r="M24" s="64">
        <v>5276624</v>
      </c>
      <c r="N24" s="64">
        <v>15269866</v>
      </c>
      <c r="O24" s="64">
        <v>23758842</v>
      </c>
      <c r="P24" s="65">
        <v>40.177737706076996</v>
      </c>
      <c r="Q24" s="65">
        <v>44.776935742170899</v>
      </c>
      <c r="R24" s="66">
        <v>0.99495486539562805</v>
      </c>
      <c r="S24" s="22">
        <v>243.31899999999999</v>
      </c>
      <c r="T24" s="22">
        <v>235.732</v>
      </c>
      <c r="U24" s="22">
        <v>9.8984000000000005</v>
      </c>
      <c r="V24" s="22">
        <v>3.8996499999999998</v>
      </c>
      <c r="W24" s="22">
        <v>225.84399999999999</v>
      </c>
      <c r="X24" s="38">
        <v>222.274</v>
      </c>
      <c r="Y24" s="37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6"/>
      <c r="AK24" s="66"/>
      <c r="AL24" s="66"/>
      <c r="AM24" s="22"/>
      <c r="AN24" s="22"/>
      <c r="AO24" s="22"/>
      <c r="AP24" s="22"/>
      <c r="AQ24" s="22"/>
      <c r="AR24" s="38"/>
      <c r="AS24" s="49"/>
      <c r="AT24" s="96"/>
      <c r="AU24" s="97"/>
      <c r="AV24" s="49"/>
      <c r="AW24" s="96"/>
      <c r="AX24" s="97"/>
      <c r="AY24" s="34">
        <f t="shared" si="4"/>
        <v>-4899964</v>
      </c>
      <c r="AZ24" s="64">
        <f t="shared" si="0"/>
        <v>-1733025480</v>
      </c>
      <c r="BA24" s="64">
        <f t="shared" si="18"/>
        <v>-95574896</v>
      </c>
      <c r="BB24" s="64">
        <f t="shared" si="19"/>
        <v>-1637401312</v>
      </c>
      <c r="BC24" s="64">
        <f t="shared" si="20"/>
        <v>-11992567</v>
      </c>
      <c r="BD24" s="64">
        <f t="shared" si="21"/>
        <v>-28737076</v>
      </c>
      <c r="BE24" s="64">
        <f t="shared" si="22"/>
        <v>-49261977</v>
      </c>
      <c r="BF24" s="64">
        <f t="shared" si="23"/>
        <v>-70378212</v>
      </c>
      <c r="BG24" s="64">
        <f t="shared" si="24"/>
        <v>-5276624</v>
      </c>
      <c r="BH24" s="64">
        <f t="shared" si="25"/>
        <v>-15269866</v>
      </c>
      <c r="BI24" s="64">
        <f t="shared" si="26"/>
        <v>-23758842</v>
      </c>
      <c r="BJ24" s="70">
        <f t="shared" si="27"/>
        <v>-40.177737706076996</v>
      </c>
      <c r="BK24" s="70">
        <f t="shared" si="28"/>
        <v>-44.776935742170899</v>
      </c>
      <c r="BL24" s="71">
        <f t="shared" si="29"/>
        <v>-0.99495486539562805</v>
      </c>
    </row>
    <row r="25" spans="1:64" x14ac:dyDescent="0.25">
      <c r="A25" s="242"/>
      <c r="B25" s="247" t="s">
        <v>1246</v>
      </c>
      <c r="C25" s="26" t="s">
        <v>45</v>
      </c>
      <c r="D25" s="43"/>
      <c r="E25" s="32">
        <v>4086843</v>
      </c>
      <c r="F25" s="58">
        <v>573036904</v>
      </c>
      <c r="G25" s="58">
        <v>87932808</v>
      </c>
      <c r="H25" s="58">
        <v>485077304</v>
      </c>
      <c r="I25" s="58">
        <v>9277330</v>
      </c>
      <c r="J25" s="58">
        <v>12619532</v>
      </c>
      <c r="K25" s="58">
        <v>22062672</v>
      </c>
      <c r="L25" s="58">
        <v>32714570</v>
      </c>
      <c r="M25" s="58">
        <v>4894170</v>
      </c>
      <c r="N25" s="58">
        <v>15027732</v>
      </c>
      <c r="O25" s="58">
        <v>24673320</v>
      </c>
      <c r="P25" s="59">
        <v>36.148445194445998</v>
      </c>
      <c r="Q25" s="59">
        <v>40.6729026784501</v>
      </c>
      <c r="R25" s="60">
        <v>0.99004647329096696</v>
      </c>
      <c r="S25" s="21">
        <v>174.523</v>
      </c>
      <c r="T25" s="21">
        <v>190.471</v>
      </c>
      <c r="U25" s="21">
        <v>7.7610000000000001</v>
      </c>
      <c r="V25" s="21">
        <v>3.5432700000000001</v>
      </c>
      <c r="W25" s="21">
        <v>161.36199999999999</v>
      </c>
      <c r="X25" s="33">
        <v>181.97800000000001</v>
      </c>
      <c r="Y25" s="32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60"/>
      <c r="AK25" s="60"/>
      <c r="AL25" s="60"/>
      <c r="AM25" s="21"/>
      <c r="AN25" s="21"/>
      <c r="AO25" s="21"/>
      <c r="AP25" s="21"/>
      <c r="AQ25" s="21"/>
      <c r="AR25" s="33"/>
      <c r="AS25" s="171" t="str">
        <f ca="1">bdRateHermiteNew(INDIRECT("F25:F29"), INDIRECT("P25:P29"), INDIRECT("Z25:Z29"), INDIRECT("AJ25:AJ29"))</f>
        <v>No Test</v>
      </c>
      <c r="AT25" s="172" t="str">
        <f ca="1">bdRateHermiteNew(INDIRECT("F25:F29"), INDIRECT("Q25:Q29"), INDIRECT("Z25:Z29"), INDIRECT("AK25:AK29"))</f>
        <v>No Test</v>
      </c>
      <c r="AU25" s="173" t="str">
        <f ca="1">bdRateHermiteNew(INDIRECT("F25:F29"), INDIRECT("R25:R29"), INDIRECT("Z25:Z29"), INDIRECT("AL25:AL29"))</f>
        <v>No Test</v>
      </c>
      <c r="AV25" s="171" t="str">
        <f ca="1">bdRateHermiteNew(INDIRECT("H25:H29"), INDIRECT("P25:P29"), INDIRECT("AB25:AB29"), INDIRECT("AJ25:AJ29"))</f>
        <v>No Test</v>
      </c>
      <c r="AW25" s="172" t="str">
        <f ca="1">bdRateHermiteNew(INDIRECT("H25:H29"), INDIRECT("Q25:Q29"), INDIRECT("AB25:AB29"), INDIRECT("AK25:AK29"))</f>
        <v>No Test</v>
      </c>
      <c r="AX25" s="173" t="str">
        <f ca="1">bdRateHermiteNew(INDIRECT("H25:H29"), INDIRECT("R25:R29"), INDIRECT("AB25:AB29"), INDIRECT("AL25:AL29"))</f>
        <v>No Test</v>
      </c>
      <c r="AY25" s="32">
        <f t="shared" si="4"/>
        <v>-4086843</v>
      </c>
      <c r="AZ25" s="58">
        <f t="shared" si="0"/>
        <v>-573036904</v>
      </c>
      <c r="BA25" s="58">
        <f t="shared" si="18"/>
        <v>-87932808</v>
      </c>
      <c r="BB25" s="58">
        <f t="shared" si="19"/>
        <v>-485077304</v>
      </c>
      <c r="BC25" s="58">
        <f t="shared" si="20"/>
        <v>-9277330</v>
      </c>
      <c r="BD25" s="58">
        <f t="shared" si="21"/>
        <v>-12619532</v>
      </c>
      <c r="BE25" s="58">
        <f t="shared" si="22"/>
        <v>-22062672</v>
      </c>
      <c r="BF25" s="58">
        <f t="shared" si="23"/>
        <v>-32714570</v>
      </c>
      <c r="BG25" s="58">
        <f t="shared" si="24"/>
        <v>-4894170</v>
      </c>
      <c r="BH25" s="58">
        <f t="shared" si="25"/>
        <v>-15027732</v>
      </c>
      <c r="BI25" s="58">
        <f t="shared" si="26"/>
        <v>-24673320</v>
      </c>
      <c r="BJ25" s="67">
        <f t="shared" si="27"/>
        <v>-36.148445194445998</v>
      </c>
      <c r="BK25" s="67">
        <f t="shared" si="28"/>
        <v>-40.6729026784501</v>
      </c>
      <c r="BL25" s="68">
        <f t="shared" si="29"/>
        <v>-0.99004647329096696</v>
      </c>
    </row>
    <row r="26" spans="1:64" x14ac:dyDescent="0.25">
      <c r="A26" s="242"/>
      <c r="B26" s="248"/>
      <c r="C26" s="27" t="s">
        <v>46</v>
      </c>
      <c r="D26" s="183"/>
      <c r="E26" s="34">
        <v>4086843</v>
      </c>
      <c r="F26" s="61">
        <v>780913512</v>
      </c>
      <c r="G26" s="61">
        <v>87932808</v>
      </c>
      <c r="H26" s="61">
        <v>692953912</v>
      </c>
      <c r="I26" s="61">
        <v>12939714</v>
      </c>
      <c r="J26" s="61">
        <v>20667512</v>
      </c>
      <c r="K26" s="61">
        <v>35732578</v>
      </c>
      <c r="L26" s="61">
        <v>52224290</v>
      </c>
      <c r="M26" s="61">
        <v>5947080</v>
      </c>
      <c r="N26" s="61">
        <v>17698122</v>
      </c>
      <c r="O26" s="61">
        <v>28029182</v>
      </c>
      <c r="P26" s="62">
        <v>41.820841693022601</v>
      </c>
      <c r="Q26" s="62">
        <v>46.2683416315191</v>
      </c>
      <c r="R26" s="63">
        <v>0.99633197042173105</v>
      </c>
      <c r="S26" s="35">
        <v>183.16</v>
      </c>
      <c r="T26" s="35">
        <v>193.697</v>
      </c>
      <c r="U26" s="35">
        <v>8.0078800000000001</v>
      </c>
      <c r="V26" s="35">
        <v>3.48129</v>
      </c>
      <c r="W26" s="35">
        <v>168.13399999999999</v>
      </c>
      <c r="X26" s="36">
        <v>185.53700000000001</v>
      </c>
      <c r="Y26" s="34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3"/>
      <c r="AK26" s="63"/>
      <c r="AL26" s="63"/>
      <c r="AM26" s="35"/>
      <c r="AN26" s="35"/>
      <c r="AO26" s="35"/>
      <c r="AP26" s="35"/>
      <c r="AQ26" s="35"/>
      <c r="AR26" s="36"/>
      <c r="AS26" s="47"/>
      <c r="AT26" s="94"/>
      <c r="AU26" s="95"/>
      <c r="AV26" s="47"/>
      <c r="AW26" s="94"/>
      <c r="AX26" s="95"/>
      <c r="AY26" s="34">
        <f t="shared" si="4"/>
        <v>-4086843</v>
      </c>
      <c r="AZ26" s="61">
        <f t="shared" si="0"/>
        <v>-780913512</v>
      </c>
      <c r="BA26" s="61">
        <f t="shared" si="18"/>
        <v>-87932808</v>
      </c>
      <c r="BB26" s="61">
        <f t="shared" si="19"/>
        <v>-692953912</v>
      </c>
      <c r="BC26" s="61">
        <f t="shared" si="20"/>
        <v>-12939714</v>
      </c>
      <c r="BD26" s="61">
        <f t="shared" si="21"/>
        <v>-20667512</v>
      </c>
      <c r="BE26" s="61">
        <f t="shared" si="22"/>
        <v>-35732578</v>
      </c>
      <c r="BF26" s="61">
        <f t="shared" si="23"/>
        <v>-52224290</v>
      </c>
      <c r="BG26" s="61">
        <f t="shared" si="24"/>
        <v>-5947080</v>
      </c>
      <c r="BH26" s="61">
        <f t="shared" si="25"/>
        <v>-17698122</v>
      </c>
      <c r="BI26" s="61">
        <f t="shared" si="26"/>
        <v>-28029182</v>
      </c>
      <c r="BJ26" s="154">
        <f t="shared" si="27"/>
        <v>-41.820841693022601</v>
      </c>
      <c r="BK26" s="154">
        <f t="shared" si="28"/>
        <v>-46.2683416315191</v>
      </c>
      <c r="BL26" s="69">
        <f t="shared" si="29"/>
        <v>-0.99633197042173105</v>
      </c>
    </row>
    <row r="27" spans="1:64" x14ac:dyDescent="0.25">
      <c r="A27" s="242"/>
      <c r="B27" s="248"/>
      <c r="C27" s="27" t="s">
        <v>47</v>
      </c>
      <c r="D27" s="183"/>
      <c r="E27" s="34">
        <v>4086843</v>
      </c>
      <c r="F27" s="61">
        <v>1029419184</v>
      </c>
      <c r="G27" s="61">
        <v>87932808</v>
      </c>
      <c r="H27" s="61">
        <v>941459584</v>
      </c>
      <c r="I27" s="61">
        <v>16306176</v>
      </c>
      <c r="J27" s="61">
        <v>30808250</v>
      </c>
      <c r="K27" s="61">
        <v>52870434</v>
      </c>
      <c r="L27" s="61">
        <v>76658704</v>
      </c>
      <c r="M27" s="61">
        <v>6692296</v>
      </c>
      <c r="N27" s="61">
        <v>20192824</v>
      </c>
      <c r="O27" s="61">
        <v>31836212</v>
      </c>
      <c r="P27" s="62">
        <v>46.284210530755502</v>
      </c>
      <c r="Q27" s="62">
        <v>50.622676933354803</v>
      </c>
      <c r="R27" s="63">
        <v>0.99798616494522496</v>
      </c>
      <c r="S27" s="35">
        <v>206.28200000000001</v>
      </c>
      <c r="T27" s="35">
        <v>181.19200000000001</v>
      </c>
      <c r="U27" s="35">
        <v>8.7750599999999999</v>
      </c>
      <c r="V27" s="35">
        <v>3.5493100000000002</v>
      </c>
      <c r="W27" s="35">
        <v>190.29599999999999</v>
      </c>
      <c r="X27" s="36">
        <v>172.464</v>
      </c>
      <c r="Y27" s="34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3"/>
      <c r="AK27" s="63"/>
      <c r="AL27" s="63"/>
      <c r="AM27" s="35"/>
      <c r="AN27" s="35"/>
      <c r="AO27" s="35"/>
      <c r="AP27" s="35"/>
      <c r="AQ27" s="35"/>
      <c r="AR27" s="36"/>
      <c r="AS27" s="47"/>
      <c r="AT27" s="94"/>
      <c r="AU27" s="95"/>
      <c r="AV27" s="47"/>
      <c r="AW27" s="94"/>
      <c r="AX27" s="95"/>
      <c r="AY27" s="34">
        <f t="shared" si="4"/>
        <v>-4086843</v>
      </c>
      <c r="AZ27" s="61">
        <f t="shared" si="0"/>
        <v>-1029419184</v>
      </c>
      <c r="BA27" s="61">
        <f t="shared" si="18"/>
        <v>-87932808</v>
      </c>
      <c r="BB27" s="61">
        <f t="shared" si="19"/>
        <v>-941459584</v>
      </c>
      <c r="BC27" s="61">
        <f t="shared" si="20"/>
        <v>-16306176</v>
      </c>
      <c r="BD27" s="61">
        <f t="shared" si="21"/>
        <v>-30808250</v>
      </c>
      <c r="BE27" s="61">
        <f t="shared" si="22"/>
        <v>-52870434</v>
      </c>
      <c r="BF27" s="61">
        <f t="shared" si="23"/>
        <v>-76658704</v>
      </c>
      <c r="BG27" s="61">
        <f t="shared" si="24"/>
        <v>-6692296</v>
      </c>
      <c r="BH27" s="61">
        <f t="shared" si="25"/>
        <v>-20192824</v>
      </c>
      <c r="BI27" s="61">
        <f t="shared" si="26"/>
        <v>-31836212</v>
      </c>
      <c r="BJ27" s="154">
        <f t="shared" si="27"/>
        <v>-46.284210530755502</v>
      </c>
      <c r="BK27" s="154">
        <f t="shared" si="28"/>
        <v>-50.622676933354803</v>
      </c>
      <c r="BL27" s="69">
        <f t="shared" si="29"/>
        <v>-0.99798616494522496</v>
      </c>
    </row>
    <row r="28" spans="1:64" x14ac:dyDescent="0.25">
      <c r="A28" s="242"/>
      <c r="B28" s="248"/>
      <c r="C28" s="27" t="s">
        <v>48</v>
      </c>
      <c r="D28" s="183"/>
      <c r="E28" s="34">
        <v>4086843</v>
      </c>
      <c r="F28" s="61">
        <v>1295422784</v>
      </c>
      <c r="G28" s="61">
        <v>87932808</v>
      </c>
      <c r="H28" s="61">
        <v>1207463296</v>
      </c>
      <c r="I28" s="61">
        <v>18962976</v>
      </c>
      <c r="J28" s="61">
        <v>42024754</v>
      </c>
      <c r="K28" s="61">
        <v>71456180</v>
      </c>
      <c r="L28" s="61">
        <v>103049912</v>
      </c>
      <c r="M28" s="61">
        <v>7567564</v>
      </c>
      <c r="N28" s="61">
        <v>22939126</v>
      </c>
      <c r="O28" s="61">
        <v>35865312</v>
      </c>
      <c r="P28" s="62">
        <v>48.878231145355301</v>
      </c>
      <c r="Q28" s="62">
        <v>53.1134049508441</v>
      </c>
      <c r="R28" s="63">
        <v>0.99844145932377404</v>
      </c>
      <c r="S28" s="35">
        <v>203.34899999999999</v>
      </c>
      <c r="T28" s="35">
        <v>202.608</v>
      </c>
      <c r="U28" s="35">
        <v>8.5504899999999999</v>
      </c>
      <c r="V28" s="35">
        <v>3.5190000000000001</v>
      </c>
      <c r="W28" s="35">
        <v>187.88</v>
      </c>
      <c r="X28" s="36">
        <v>192.625</v>
      </c>
      <c r="Y28" s="34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3"/>
      <c r="AK28" s="63"/>
      <c r="AL28" s="63"/>
      <c r="AM28" s="35"/>
      <c r="AN28" s="35"/>
      <c r="AO28" s="35"/>
      <c r="AP28" s="35"/>
      <c r="AQ28" s="35"/>
      <c r="AR28" s="36"/>
      <c r="AS28" s="47"/>
      <c r="AT28" s="94"/>
      <c r="AU28" s="95"/>
      <c r="AV28" s="47"/>
      <c r="AW28" s="94"/>
      <c r="AX28" s="95"/>
      <c r="AY28" s="34">
        <f t="shared" si="4"/>
        <v>-4086843</v>
      </c>
      <c r="AZ28" s="61">
        <f t="shared" si="0"/>
        <v>-1295422784</v>
      </c>
      <c r="BA28" s="61">
        <f t="shared" si="18"/>
        <v>-87932808</v>
      </c>
      <c r="BB28" s="61">
        <f t="shared" si="19"/>
        <v>-1207463296</v>
      </c>
      <c r="BC28" s="61">
        <f t="shared" si="20"/>
        <v>-18962976</v>
      </c>
      <c r="BD28" s="61">
        <f t="shared" si="21"/>
        <v>-42024754</v>
      </c>
      <c r="BE28" s="61">
        <f t="shared" si="22"/>
        <v>-71456180</v>
      </c>
      <c r="BF28" s="61">
        <f t="shared" si="23"/>
        <v>-103049912</v>
      </c>
      <c r="BG28" s="61">
        <f t="shared" si="24"/>
        <v>-7567564</v>
      </c>
      <c r="BH28" s="61">
        <f t="shared" si="25"/>
        <v>-22939126</v>
      </c>
      <c r="BI28" s="61">
        <f t="shared" si="26"/>
        <v>-35865312</v>
      </c>
      <c r="BJ28" s="154">
        <f t="shared" si="27"/>
        <v>-48.878231145355301</v>
      </c>
      <c r="BK28" s="154">
        <f t="shared" si="28"/>
        <v>-53.1134049508441</v>
      </c>
      <c r="BL28" s="69">
        <f t="shared" si="29"/>
        <v>-0.99844145932377404</v>
      </c>
    </row>
    <row r="29" spans="1:64" ht="15.75" thickBot="1" x14ac:dyDescent="0.3">
      <c r="A29" s="242"/>
      <c r="B29" s="249"/>
      <c r="C29" s="28" t="s">
        <v>49</v>
      </c>
      <c r="D29" s="44"/>
      <c r="E29" s="37">
        <v>4086843</v>
      </c>
      <c r="F29" s="64">
        <v>1519468128</v>
      </c>
      <c r="G29" s="64">
        <v>87932808</v>
      </c>
      <c r="H29" s="64">
        <v>1431508640</v>
      </c>
      <c r="I29" s="64">
        <v>21494158</v>
      </c>
      <c r="J29" s="64">
        <v>51335398</v>
      </c>
      <c r="K29" s="64">
        <v>86643402</v>
      </c>
      <c r="L29" s="64">
        <v>123963522</v>
      </c>
      <c r="M29" s="64">
        <v>8544264</v>
      </c>
      <c r="N29" s="64">
        <v>25875174</v>
      </c>
      <c r="O29" s="64">
        <v>40021242</v>
      </c>
      <c r="P29" s="65">
        <v>49.947879195632602</v>
      </c>
      <c r="Q29" s="65">
        <v>54.141816873842103</v>
      </c>
      <c r="R29" s="66">
        <v>0.99862770349909602</v>
      </c>
      <c r="S29" s="22">
        <v>211.553</v>
      </c>
      <c r="T29" s="22">
        <v>192.75399999999999</v>
      </c>
      <c r="U29" s="22">
        <v>8.5925799999999999</v>
      </c>
      <c r="V29" s="22">
        <v>3.5110800000000002</v>
      </c>
      <c r="W29" s="22">
        <v>196.67699999999999</v>
      </c>
      <c r="X29" s="38">
        <v>182.34299999999999</v>
      </c>
      <c r="Y29" s="37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6"/>
      <c r="AK29" s="66"/>
      <c r="AL29" s="66"/>
      <c r="AM29" s="22"/>
      <c r="AN29" s="22"/>
      <c r="AO29" s="22"/>
      <c r="AP29" s="22"/>
      <c r="AQ29" s="22"/>
      <c r="AR29" s="38"/>
      <c r="AS29" s="49"/>
      <c r="AT29" s="96"/>
      <c r="AU29" s="97"/>
      <c r="AV29" s="49"/>
      <c r="AW29" s="96"/>
      <c r="AX29" s="97"/>
      <c r="AY29" s="34">
        <f t="shared" si="4"/>
        <v>-4086843</v>
      </c>
      <c r="AZ29" s="64">
        <f t="shared" si="0"/>
        <v>-1519468128</v>
      </c>
      <c r="BA29" s="64">
        <f t="shared" si="18"/>
        <v>-87932808</v>
      </c>
      <c r="BB29" s="64">
        <f t="shared" si="19"/>
        <v>-1431508640</v>
      </c>
      <c r="BC29" s="64">
        <f t="shared" si="20"/>
        <v>-21494158</v>
      </c>
      <c r="BD29" s="64">
        <f t="shared" si="21"/>
        <v>-51335398</v>
      </c>
      <c r="BE29" s="64">
        <f t="shared" si="22"/>
        <v>-86643402</v>
      </c>
      <c r="BF29" s="64">
        <f t="shared" si="23"/>
        <v>-123963522</v>
      </c>
      <c r="BG29" s="64">
        <f t="shared" si="24"/>
        <v>-8544264</v>
      </c>
      <c r="BH29" s="64">
        <f t="shared" si="25"/>
        <v>-25875174</v>
      </c>
      <c r="BI29" s="64">
        <f t="shared" si="26"/>
        <v>-40021242</v>
      </c>
      <c r="BJ29" s="70">
        <f t="shared" si="27"/>
        <v>-49.947879195632602</v>
      </c>
      <c r="BK29" s="70">
        <f t="shared" si="28"/>
        <v>-54.141816873842103</v>
      </c>
      <c r="BL29" s="71">
        <f t="shared" si="29"/>
        <v>-0.99862770349909602</v>
      </c>
    </row>
    <row r="30" spans="1:64" x14ac:dyDescent="0.25">
      <c r="A30" s="242"/>
      <c r="B30" s="247" t="s">
        <v>1305</v>
      </c>
      <c r="C30" s="26" t="s">
        <v>45</v>
      </c>
      <c r="D30" s="43"/>
      <c r="E30" s="32">
        <v>1999154</v>
      </c>
      <c r="F30" s="58">
        <v>263974304</v>
      </c>
      <c r="G30" s="58">
        <v>43366688</v>
      </c>
      <c r="H30" s="58">
        <v>220591976</v>
      </c>
      <c r="I30" s="58">
        <v>7321060</v>
      </c>
      <c r="J30" s="58">
        <v>12494932</v>
      </c>
      <c r="K30" s="58">
        <v>19438148</v>
      </c>
      <c r="L30" s="58">
        <v>28320512</v>
      </c>
      <c r="M30" s="58">
        <v>4852540</v>
      </c>
      <c r="N30" s="58">
        <v>13745164</v>
      </c>
      <c r="O30" s="58">
        <v>24123632</v>
      </c>
      <c r="P30" s="59">
        <v>36.658881227437398</v>
      </c>
      <c r="Q30" s="59">
        <v>41.393916125583999</v>
      </c>
      <c r="R30" s="60">
        <v>0.99337541552191799</v>
      </c>
      <c r="S30" s="21">
        <v>99.276200000000003</v>
      </c>
      <c r="T30" s="21">
        <v>89.315700000000007</v>
      </c>
      <c r="U30" s="21">
        <v>4.37826</v>
      </c>
      <c r="V30" s="21">
        <v>1.78775</v>
      </c>
      <c r="W30" s="21">
        <v>92.033199999999994</v>
      </c>
      <c r="X30" s="33">
        <v>85.759799999999998</v>
      </c>
      <c r="Y30" s="32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60"/>
      <c r="AK30" s="60"/>
      <c r="AL30" s="60"/>
      <c r="AM30" s="21"/>
      <c r="AN30" s="21"/>
      <c r="AO30" s="21"/>
      <c r="AP30" s="21"/>
      <c r="AQ30" s="21"/>
      <c r="AR30" s="33"/>
      <c r="AS30" s="171" t="str">
        <f ca="1">bdRateHermiteNew(INDIRECT("F30:F34"), INDIRECT("P30:P34"), INDIRECT("Z30:Z34"), INDIRECT("AJ30:AJ34"))</f>
        <v>No Test</v>
      </c>
      <c r="AT30" s="172" t="str">
        <f ca="1">bdRateHermiteNew(INDIRECT("F30:F34"), INDIRECT("Q30:Q34"), INDIRECT("Z30:Z34"), INDIRECT("AK30:AK34"))</f>
        <v>No Test</v>
      </c>
      <c r="AU30" s="173" t="str">
        <f ca="1">bdRateHermiteNew(INDIRECT("F30:F34"), INDIRECT("R30:R34"), INDIRECT("Z30:Z34"), INDIRECT("AL30:AL34"))</f>
        <v>No Test</v>
      </c>
      <c r="AV30" s="171" t="str">
        <f ca="1">bdRateHermiteNew(INDIRECT("H30:H34"), INDIRECT("P30:P34"), INDIRECT("AB30:AB34"), INDIRECT("AJ30:AJ34"))</f>
        <v>No Test</v>
      </c>
      <c r="AW30" s="172" t="str">
        <f ca="1">bdRateHermiteNew(INDIRECT("H30:H34"), INDIRECT("Q30:Q34"), INDIRECT("AB30:AB34"), INDIRECT("AK30:AK34"))</f>
        <v>No Test</v>
      </c>
      <c r="AX30" s="173" t="str">
        <f ca="1">bdRateHermiteNew(INDIRECT("H30:H34"), INDIRECT("R30:R34"), INDIRECT("AB30:AB34"), INDIRECT("AL30:AL34"))</f>
        <v>No Test</v>
      </c>
      <c r="AY30" s="32">
        <f t="shared" si="4"/>
        <v>-1999154</v>
      </c>
      <c r="AZ30" s="58">
        <f t="shared" si="0"/>
        <v>-263974304</v>
      </c>
      <c r="BA30" s="58">
        <f t="shared" si="18"/>
        <v>-43366688</v>
      </c>
      <c r="BB30" s="58">
        <f t="shared" si="19"/>
        <v>-220591976</v>
      </c>
      <c r="BC30" s="58">
        <f t="shared" si="20"/>
        <v>-7321060</v>
      </c>
      <c r="BD30" s="58">
        <f t="shared" si="21"/>
        <v>-12494932</v>
      </c>
      <c r="BE30" s="58">
        <f t="shared" si="22"/>
        <v>-19438148</v>
      </c>
      <c r="BF30" s="58">
        <f t="shared" si="23"/>
        <v>-28320512</v>
      </c>
      <c r="BG30" s="58">
        <f t="shared" si="24"/>
        <v>-4852540</v>
      </c>
      <c r="BH30" s="58">
        <f t="shared" si="25"/>
        <v>-13745164</v>
      </c>
      <c r="BI30" s="58">
        <f t="shared" si="26"/>
        <v>-24123632</v>
      </c>
      <c r="BJ30" s="67">
        <f t="shared" si="27"/>
        <v>-36.658881227437398</v>
      </c>
      <c r="BK30" s="67">
        <f t="shared" si="28"/>
        <v>-41.393916125583999</v>
      </c>
      <c r="BL30" s="68">
        <f t="shared" si="29"/>
        <v>-0.99337541552191799</v>
      </c>
    </row>
    <row r="31" spans="1:64" x14ac:dyDescent="0.25">
      <c r="A31" s="242"/>
      <c r="B31" s="248"/>
      <c r="C31" s="27" t="s">
        <v>46</v>
      </c>
      <c r="D31" s="183"/>
      <c r="E31" s="34">
        <v>1999154</v>
      </c>
      <c r="F31" s="61">
        <v>362272216</v>
      </c>
      <c r="G31" s="61">
        <v>43366688</v>
      </c>
      <c r="H31" s="61">
        <v>318889888</v>
      </c>
      <c r="I31" s="61">
        <v>10365416</v>
      </c>
      <c r="J31" s="61">
        <v>20345680</v>
      </c>
      <c r="K31" s="61">
        <v>32221904</v>
      </c>
      <c r="L31" s="61">
        <v>46585584</v>
      </c>
      <c r="M31" s="61">
        <v>5866436</v>
      </c>
      <c r="N31" s="61">
        <v>16832980</v>
      </c>
      <c r="O31" s="61">
        <v>27226944</v>
      </c>
      <c r="P31" s="62">
        <v>42.449229249450099</v>
      </c>
      <c r="Q31" s="62">
        <v>47.125631079954097</v>
      </c>
      <c r="R31" s="63">
        <v>0.99737846033049904</v>
      </c>
      <c r="S31" s="35">
        <v>105.38200000000001</v>
      </c>
      <c r="T31" s="35">
        <v>95.640600000000006</v>
      </c>
      <c r="U31" s="35">
        <v>4.4439200000000003</v>
      </c>
      <c r="V31" s="35">
        <v>1.80671</v>
      </c>
      <c r="W31" s="35">
        <v>97.775599999999997</v>
      </c>
      <c r="X31" s="36">
        <v>91.557199999999995</v>
      </c>
      <c r="Y31" s="34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3"/>
      <c r="AK31" s="63"/>
      <c r="AL31" s="63"/>
      <c r="AM31" s="35"/>
      <c r="AN31" s="35"/>
      <c r="AO31" s="35"/>
      <c r="AP31" s="35"/>
      <c r="AQ31" s="35"/>
      <c r="AR31" s="36"/>
      <c r="AS31" s="47"/>
      <c r="AT31" s="94"/>
      <c r="AU31" s="95"/>
      <c r="AV31" s="47"/>
      <c r="AW31" s="94"/>
      <c r="AX31" s="95"/>
      <c r="AY31" s="34">
        <f t="shared" si="4"/>
        <v>-1999154</v>
      </c>
      <c r="AZ31" s="61">
        <f t="shared" si="0"/>
        <v>-362272216</v>
      </c>
      <c r="BA31" s="61">
        <f t="shared" si="18"/>
        <v>-43366688</v>
      </c>
      <c r="BB31" s="61">
        <f t="shared" si="19"/>
        <v>-318889888</v>
      </c>
      <c r="BC31" s="61">
        <f t="shared" si="20"/>
        <v>-10365416</v>
      </c>
      <c r="BD31" s="61">
        <f t="shared" si="21"/>
        <v>-20345680</v>
      </c>
      <c r="BE31" s="61">
        <f t="shared" si="22"/>
        <v>-32221904</v>
      </c>
      <c r="BF31" s="61">
        <f t="shared" si="23"/>
        <v>-46585584</v>
      </c>
      <c r="BG31" s="61">
        <f t="shared" si="24"/>
        <v>-5866436</v>
      </c>
      <c r="BH31" s="61">
        <f t="shared" si="25"/>
        <v>-16832980</v>
      </c>
      <c r="BI31" s="61">
        <f t="shared" si="26"/>
        <v>-27226944</v>
      </c>
      <c r="BJ31" s="154">
        <f t="shared" si="27"/>
        <v>-42.449229249450099</v>
      </c>
      <c r="BK31" s="154">
        <f t="shared" si="28"/>
        <v>-47.125631079954097</v>
      </c>
      <c r="BL31" s="69">
        <f t="shared" si="29"/>
        <v>-0.99737846033049904</v>
      </c>
    </row>
    <row r="32" spans="1:64" x14ac:dyDescent="0.25">
      <c r="A32" s="242"/>
      <c r="B32" s="248"/>
      <c r="C32" s="27" t="s">
        <v>47</v>
      </c>
      <c r="D32" s="183"/>
      <c r="E32" s="34">
        <v>1999154</v>
      </c>
      <c r="F32" s="61">
        <v>479018528</v>
      </c>
      <c r="G32" s="61">
        <v>43366688</v>
      </c>
      <c r="H32" s="61">
        <v>435636200</v>
      </c>
      <c r="I32" s="61">
        <v>13523908</v>
      </c>
      <c r="J32" s="61">
        <v>30384040</v>
      </c>
      <c r="K32" s="61">
        <v>48244084</v>
      </c>
      <c r="L32" s="61">
        <v>68979368</v>
      </c>
      <c r="M32" s="61">
        <v>6595080</v>
      </c>
      <c r="N32" s="61">
        <v>19160332</v>
      </c>
      <c r="O32" s="61">
        <v>30931288</v>
      </c>
      <c r="P32" s="62">
        <v>47.1781378002552</v>
      </c>
      <c r="Q32" s="62">
        <v>51.669474775124598</v>
      </c>
      <c r="R32" s="63">
        <v>0.99847283875591797</v>
      </c>
      <c r="S32" s="35">
        <v>109.34399999999999</v>
      </c>
      <c r="T32" s="35">
        <v>95.703299999999999</v>
      </c>
      <c r="U32" s="35">
        <v>4.5188499999999996</v>
      </c>
      <c r="V32" s="35">
        <v>1.7949999999999999</v>
      </c>
      <c r="W32" s="35">
        <v>101.979</v>
      </c>
      <c r="X32" s="36">
        <v>91.403800000000004</v>
      </c>
      <c r="Y32" s="34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3"/>
      <c r="AK32" s="63"/>
      <c r="AL32" s="63"/>
      <c r="AM32" s="35"/>
      <c r="AN32" s="35"/>
      <c r="AO32" s="35"/>
      <c r="AP32" s="35"/>
      <c r="AQ32" s="35"/>
      <c r="AR32" s="36"/>
      <c r="AS32" s="47"/>
      <c r="AT32" s="94"/>
      <c r="AU32" s="95"/>
      <c r="AV32" s="47"/>
      <c r="AW32" s="94"/>
      <c r="AX32" s="95"/>
      <c r="AY32" s="34">
        <f t="shared" si="4"/>
        <v>-1999154</v>
      </c>
      <c r="AZ32" s="61">
        <f t="shared" si="0"/>
        <v>-479018528</v>
      </c>
      <c r="BA32" s="61">
        <f t="shared" si="18"/>
        <v>-43366688</v>
      </c>
      <c r="BB32" s="61">
        <f t="shared" si="19"/>
        <v>-435636200</v>
      </c>
      <c r="BC32" s="61">
        <f t="shared" si="20"/>
        <v>-13523908</v>
      </c>
      <c r="BD32" s="61">
        <f t="shared" si="21"/>
        <v>-30384040</v>
      </c>
      <c r="BE32" s="61">
        <f t="shared" si="22"/>
        <v>-48244084</v>
      </c>
      <c r="BF32" s="61">
        <f t="shared" si="23"/>
        <v>-68979368</v>
      </c>
      <c r="BG32" s="61">
        <f t="shared" si="24"/>
        <v>-6595080</v>
      </c>
      <c r="BH32" s="61">
        <f t="shared" si="25"/>
        <v>-19160332</v>
      </c>
      <c r="BI32" s="61">
        <f t="shared" si="26"/>
        <v>-30931288</v>
      </c>
      <c r="BJ32" s="154">
        <f t="shared" si="27"/>
        <v>-47.1781378002552</v>
      </c>
      <c r="BK32" s="154">
        <f t="shared" si="28"/>
        <v>-51.669474775124598</v>
      </c>
      <c r="BL32" s="69">
        <f t="shared" si="29"/>
        <v>-0.99847283875591797</v>
      </c>
    </row>
    <row r="33" spans="1:64" x14ac:dyDescent="0.25">
      <c r="A33" s="242"/>
      <c r="B33" s="248"/>
      <c r="C33" s="27" t="s">
        <v>48</v>
      </c>
      <c r="D33" s="183"/>
      <c r="E33" s="34">
        <v>1999154</v>
      </c>
      <c r="F33" s="61">
        <v>604407760</v>
      </c>
      <c r="G33" s="61">
        <v>43366688</v>
      </c>
      <c r="H33" s="61">
        <v>561025544</v>
      </c>
      <c r="I33" s="61">
        <v>16614296</v>
      </c>
      <c r="J33" s="61">
        <v>41111428</v>
      </c>
      <c r="K33" s="61">
        <v>65287172</v>
      </c>
      <c r="L33" s="61">
        <v>93528388</v>
      </c>
      <c r="M33" s="61">
        <v>7442712</v>
      </c>
      <c r="N33" s="61">
        <v>21681952</v>
      </c>
      <c r="O33" s="61">
        <v>34846824</v>
      </c>
      <c r="P33" s="62">
        <v>49.960570632518802</v>
      </c>
      <c r="Q33" s="62">
        <v>54.264377218684601</v>
      </c>
      <c r="R33" s="63">
        <v>0.99877961699750895</v>
      </c>
      <c r="S33" s="35">
        <v>102.146</v>
      </c>
      <c r="T33" s="35">
        <v>94.064400000000006</v>
      </c>
      <c r="U33" s="35">
        <v>4.2278900000000004</v>
      </c>
      <c r="V33" s="35">
        <v>1.76234</v>
      </c>
      <c r="W33" s="35">
        <v>94.577200000000005</v>
      </c>
      <c r="X33" s="36">
        <v>89.184700000000007</v>
      </c>
      <c r="Y33" s="34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3"/>
      <c r="AK33" s="63"/>
      <c r="AL33" s="63"/>
      <c r="AM33" s="35"/>
      <c r="AN33" s="35"/>
      <c r="AO33" s="35"/>
      <c r="AP33" s="35"/>
      <c r="AQ33" s="35"/>
      <c r="AR33" s="36"/>
      <c r="AS33" s="47"/>
      <c r="AT33" s="94"/>
      <c r="AU33" s="95"/>
      <c r="AV33" s="47"/>
      <c r="AW33" s="94"/>
      <c r="AX33" s="95"/>
      <c r="AY33" s="34">
        <f t="shared" si="4"/>
        <v>-1999154</v>
      </c>
      <c r="AZ33" s="61">
        <f t="shared" si="0"/>
        <v>-604407760</v>
      </c>
      <c r="BA33" s="61">
        <f t="shared" si="18"/>
        <v>-43366688</v>
      </c>
      <c r="BB33" s="61">
        <f t="shared" si="19"/>
        <v>-561025544</v>
      </c>
      <c r="BC33" s="61">
        <f t="shared" si="20"/>
        <v>-16614296</v>
      </c>
      <c r="BD33" s="61">
        <f t="shared" si="21"/>
        <v>-41111428</v>
      </c>
      <c r="BE33" s="61">
        <f t="shared" si="22"/>
        <v>-65287172</v>
      </c>
      <c r="BF33" s="61">
        <f t="shared" si="23"/>
        <v>-93528388</v>
      </c>
      <c r="BG33" s="61">
        <f t="shared" si="24"/>
        <v>-7442712</v>
      </c>
      <c r="BH33" s="61">
        <f t="shared" si="25"/>
        <v>-21681952</v>
      </c>
      <c r="BI33" s="61">
        <f t="shared" si="26"/>
        <v>-34846824</v>
      </c>
      <c r="BJ33" s="154">
        <f t="shared" si="27"/>
        <v>-49.960570632518802</v>
      </c>
      <c r="BK33" s="154">
        <f t="shared" si="28"/>
        <v>-54.264377218684601</v>
      </c>
      <c r="BL33" s="69">
        <f t="shared" si="29"/>
        <v>-0.99877961699750895</v>
      </c>
    </row>
    <row r="34" spans="1:64" ht="15.75" thickBot="1" x14ac:dyDescent="0.3">
      <c r="A34" s="242"/>
      <c r="B34" s="249"/>
      <c r="C34" s="28" t="s">
        <v>49</v>
      </c>
      <c r="D34" s="44"/>
      <c r="E34" s="37">
        <v>1999154</v>
      </c>
      <c r="F34" s="64">
        <v>716397400</v>
      </c>
      <c r="G34" s="64">
        <v>43366688</v>
      </c>
      <c r="H34" s="64">
        <v>673015184</v>
      </c>
      <c r="I34" s="64">
        <v>19398140</v>
      </c>
      <c r="J34" s="64">
        <v>49815628</v>
      </c>
      <c r="K34" s="64">
        <v>80233416</v>
      </c>
      <c r="L34" s="64">
        <v>115157912</v>
      </c>
      <c r="M34" s="64">
        <v>8399964</v>
      </c>
      <c r="N34" s="64">
        <v>24498184</v>
      </c>
      <c r="O34" s="64">
        <v>39004348</v>
      </c>
      <c r="P34" s="65">
        <v>51.226902899847701</v>
      </c>
      <c r="Q34" s="65">
        <v>55.428513458587197</v>
      </c>
      <c r="R34" s="66">
        <v>0.99893019416084505</v>
      </c>
      <c r="S34" s="22">
        <v>99.686700000000002</v>
      </c>
      <c r="T34" s="22">
        <v>97.734899999999996</v>
      </c>
      <c r="U34" s="22">
        <v>4.0760699999999996</v>
      </c>
      <c r="V34" s="22">
        <v>1.76413</v>
      </c>
      <c r="W34" s="22">
        <v>92.994200000000006</v>
      </c>
      <c r="X34" s="38">
        <v>92.494500000000002</v>
      </c>
      <c r="Y34" s="37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6"/>
      <c r="AK34" s="66"/>
      <c r="AL34" s="66"/>
      <c r="AM34" s="22"/>
      <c r="AN34" s="22"/>
      <c r="AO34" s="22"/>
      <c r="AP34" s="22"/>
      <c r="AQ34" s="22"/>
      <c r="AR34" s="38"/>
      <c r="AS34" s="49"/>
      <c r="AT34" s="96"/>
      <c r="AU34" s="97"/>
      <c r="AV34" s="49"/>
      <c r="AW34" s="96"/>
      <c r="AX34" s="97"/>
      <c r="AY34" s="34">
        <f t="shared" si="4"/>
        <v>-1999154</v>
      </c>
      <c r="AZ34" s="64">
        <f t="shared" si="0"/>
        <v>-716397400</v>
      </c>
      <c r="BA34" s="64">
        <f t="shared" si="18"/>
        <v>-43366688</v>
      </c>
      <c r="BB34" s="64">
        <f t="shared" si="19"/>
        <v>-673015184</v>
      </c>
      <c r="BC34" s="64">
        <f t="shared" si="20"/>
        <v>-19398140</v>
      </c>
      <c r="BD34" s="64">
        <f t="shared" si="21"/>
        <v>-49815628</v>
      </c>
      <c r="BE34" s="64">
        <f t="shared" si="22"/>
        <v>-80233416</v>
      </c>
      <c r="BF34" s="64">
        <f t="shared" si="23"/>
        <v>-115157912</v>
      </c>
      <c r="BG34" s="64">
        <f t="shared" si="24"/>
        <v>-8399964</v>
      </c>
      <c r="BH34" s="64">
        <f t="shared" si="25"/>
        <v>-24498184</v>
      </c>
      <c r="BI34" s="64">
        <f t="shared" si="26"/>
        <v>-39004348</v>
      </c>
      <c r="BJ34" s="70">
        <f t="shared" si="27"/>
        <v>-51.226902899847701</v>
      </c>
      <c r="BK34" s="70">
        <f t="shared" si="28"/>
        <v>-55.428513458587197</v>
      </c>
      <c r="BL34" s="71">
        <f t="shared" si="29"/>
        <v>-0.99893019416084505</v>
      </c>
    </row>
    <row r="35" spans="1:64" x14ac:dyDescent="0.25">
      <c r="A35" s="242"/>
      <c r="B35" s="247" t="s">
        <v>1306</v>
      </c>
      <c r="C35" s="26" t="s">
        <v>45</v>
      </c>
      <c r="D35" s="43"/>
      <c r="E35" s="32">
        <v>1855373</v>
      </c>
      <c r="F35" s="58">
        <v>219921232</v>
      </c>
      <c r="G35" s="58">
        <v>46610536</v>
      </c>
      <c r="H35" s="58">
        <v>173295056</v>
      </c>
      <c r="I35" s="58">
        <v>5730260</v>
      </c>
      <c r="J35" s="58">
        <v>9298516</v>
      </c>
      <c r="K35" s="58">
        <v>15093304</v>
      </c>
      <c r="L35" s="58">
        <v>20028856</v>
      </c>
      <c r="M35" s="58">
        <v>4742740</v>
      </c>
      <c r="N35" s="58">
        <v>10657128</v>
      </c>
      <c r="O35" s="58">
        <v>21096724</v>
      </c>
      <c r="P35" s="59">
        <v>32.7285425828493</v>
      </c>
      <c r="Q35" s="59">
        <v>37.4952494784838</v>
      </c>
      <c r="R35" s="60">
        <v>0.98972541832396099</v>
      </c>
      <c r="S35" s="21">
        <v>82.723799999999997</v>
      </c>
      <c r="T35" s="21">
        <v>80.922200000000004</v>
      </c>
      <c r="U35" s="21">
        <v>4.4239699999999997</v>
      </c>
      <c r="V35" s="21">
        <v>1.41005</v>
      </c>
      <c r="W35" s="21">
        <v>75.887100000000004</v>
      </c>
      <c r="X35" s="33">
        <v>77.637200000000007</v>
      </c>
      <c r="Y35" s="32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60"/>
      <c r="AK35" s="60"/>
      <c r="AL35" s="60"/>
      <c r="AM35" s="21"/>
      <c r="AN35" s="21"/>
      <c r="AO35" s="21"/>
      <c r="AP35" s="21"/>
      <c r="AQ35" s="21"/>
      <c r="AR35" s="33"/>
      <c r="AS35" s="171" t="str">
        <f ca="1">bdRateHermiteNew(INDIRECT("F35:F39"), INDIRECT("P35:P39"), INDIRECT("Z35:Z39"), INDIRECT("AJ35:AJ39"))</f>
        <v>No Test</v>
      </c>
      <c r="AT35" s="172" t="str">
        <f ca="1">bdRateHermiteNew(INDIRECT("F35:F39"), INDIRECT("Q35:Q39"), INDIRECT("Z35:Z39"), INDIRECT("AK35:AK39"))</f>
        <v>No Test</v>
      </c>
      <c r="AU35" s="173" t="str">
        <f ca="1">bdRateHermiteNew(INDIRECT("F35:F39"), INDIRECT("R35:R39"), INDIRECT("Z35:Z39"), INDIRECT("AL35:AL39"))</f>
        <v>No Test</v>
      </c>
      <c r="AV35" s="171" t="str">
        <f ca="1">bdRateHermiteNew(INDIRECT("H35:H39"), INDIRECT("P35:P39"), INDIRECT("AB35:AB39"), INDIRECT("AJ35:AJ39"))</f>
        <v>No Test</v>
      </c>
      <c r="AW35" s="172" t="str">
        <f ca="1">bdRateHermiteNew(INDIRECT("H35:H39"), INDIRECT("Q35:Q39"), INDIRECT("AB35:AB39"), INDIRECT("AK35:AK39"))</f>
        <v>No Test</v>
      </c>
      <c r="AX35" s="173" t="str">
        <f ca="1">bdRateHermiteNew(INDIRECT("H35:H39"), INDIRECT("R35:R39"), INDIRECT("AB35:AB39"), INDIRECT("AL35:AL39"))</f>
        <v>No Test</v>
      </c>
      <c r="AY35" s="32">
        <f t="shared" si="4"/>
        <v>-1855373</v>
      </c>
      <c r="AZ35" s="58">
        <f t="shared" si="0"/>
        <v>-219921232</v>
      </c>
      <c r="BA35" s="58">
        <f t="shared" si="18"/>
        <v>-46610536</v>
      </c>
      <c r="BB35" s="58">
        <f t="shared" si="19"/>
        <v>-173295056</v>
      </c>
      <c r="BC35" s="58">
        <f t="shared" si="20"/>
        <v>-5730260</v>
      </c>
      <c r="BD35" s="58">
        <f t="shared" si="21"/>
        <v>-9298516</v>
      </c>
      <c r="BE35" s="58">
        <f t="shared" si="22"/>
        <v>-15093304</v>
      </c>
      <c r="BF35" s="58">
        <f t="shared" si="23"/>
        <v>-20028856</v>
      </c>
      <c r="BG35" s="58">
        <f t="shared" si="24"/>
        <v>-4742740</v>
      </c>
      <c r="BH35" s="58">
        <f t="shared" si="25"/>
        <v>-10657128</v>
      </c>
      <c r="BI35" s="58">
        <f t="shared" si="26"/>
        <v>-21096724</v>
      </c>
      <c r="BJ35" s="67">
        <f t="shared" si="27"/>
        <v>-32.7285425828493</v>
      </c>
      <c r="BK35" s="67">
        <f t="shared" si="28"/>
        <v>-37.4952494784838</v>
      </c>
      <c r="BL35" s="68">
        <f t="shared" si="29"/>
        <v>-0.98972541832396099</v>
      </c>
    </row>
    <row r="36" spans="1:64" x14ac:dyDescent="0.25">
      <c r="A36" s="242"/>
      <c r="B36" s="248"/>
      <c r="C36" s="27" t="s">
        <v>46</v>
      </c>
      <c r="D36" s="183"/>
      <c r="E36" s="34">
        <v>1855373</v>
      </c>
      <c r="F36" s="61">
        <v>302481640</v>
      </c>
      <c r="G36" s="61">
        <v>46610536</v>
      </c>
      <c r="H36" s="61">
        <v>255855464</v>
      </c>
      <c r="I36" s="61">
        <v>8260220</v>
      </c>
      <c r="J36" s="61">
        <v>15820716</v>
      </c>
      <c r="K36" s="61">
        <v>25737176</v>
      </c>
      <c r="L36" s="61">
        <v>34530416</v>
      </c>
      <c r="M36" s="61">
        <v>5601536</v>
      </c>
      <c r="N36" s="61">
        <v>13882556</v>
      </c>
      <c r="O36" s="61">
        <v>24095112</v>
      </c>
      <c r="P36" s="62">
        <v>39.701935039410003</v>
      </c>
      <c r="Q36" s="62">
        <v>44.412093829728903</v>
      </c>
      <c r="R36" s="63">
        <v>0.99645969452706795</v>
      </c>
      <c r="S36" s="35">
        <v>85.118300000000005</v>
      </c>
      <c r="T36" s="35">
        <v>87.088999999999999</v>
      </c>
      <c r="U36" s="35">
        <v>4.39398</v>
      </c>
      <c r="V36" s="35">
        <v>1.41825</v>
      </c>
      <c r="W36" s="35">
        <v>78.157300000000006</v>
      </c>
      <c r="X36" s="36">
        <v>83.657300000000006</v>
      </c>
      <c r="Y36" s="34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3"/>
      <c r="AK36" s="63"/>
      <c r="AL36" s="63"/>
      <c r="AM36" s="35"/>
      <c r="AN36" s="35"/>
      <c r="AO36" s="35"/>
      <c r="AP36" s="35"/>
      <c r="AQ36" s="35"/>
      <c r="AR36" s="36"/>
      <c r="AS36" s="47"/>
      <c r="AT36" s="94"/>
      <c r="AU36" s="95"/>
      <c r="AV36" s="47"/>
      <c r="AW36" s="94"/>
      <c r="AX36" s="95"/>
      <c r="AY36" s="34">
        <f t="shared" si="4"/>
        <v>-1855373</v>
      </c>
      <c r="AZ36" s="61">
        <f t="shared" si="0"/>
        <v>-302481640</v>
      </c>
      <c r="BA36" s="61">
        <f t="shared" si="18"/>
        <v>-46610536</v>
      </c>
      <c r="BB36" s="61">
        <f t="shared" si="19"/>
        <v>-255855464</v>
      </c>
      <c r="BC36" s="61">
        <f t="shared" si="20"/>
        <v>-8260220</v>
      </c>
      <c r="BD36" s="61">
        <f t="shared" si="21"/>
        <v>-15820716</v>
      </c>
      <c r="BE36" s="61">
        <f t="shared" si="22"/>
        <v>-25737176</v>
      </c>
      <c r="BF36" s="61">
        <f t="shared" si="23"/>
        <v>-34530416</v>
      </c>
      <c r="BG36" s="61">
        <f t="shared" si="24"/>
        <v>-5601536</v>
      </c>
      <c r="BH36" s="61">
        <f t="shared" si="25"/>
        <v>-13882556</v>
      </c>
      <c r="BI36" s="61">
        <f t="shared" si="26"/>
        <v>-24095112</v>
      </c>
      <c r="BJ36" s="154">
        <f t="shared" si="27"/>
        <v>-39.701935039410003</v>
      </c>
      <c r="BK36" s="154">
        <f t="shared" si="28"/>
        <v>-44.412093829728903</v>
      </c>
      <c r="BL36" s="69">
        <f t="shared" si="29"/>
        <v>-0.99645969452706795</v>
      </c>
    </row>
    <row r="37" spans="1:64" x14ac:dyDescent="0.25">
      <c r="A37" s="242"/>
      <c r="B37" s="248"/>
      <c r="C37" s="27" t="s">
        <v>47</v>
      </c>
      <c r="D37" s="183"/>
      <c r="E37" s="34">
        <v>1855373</v>
      </c>
      <c r="F37" s="61">
        <v>397464944</v>
      </c>
      <c r="G37" s="61">
        <v>46610536</v>
      </c>
      <c r="H37" s="61">
        <v>350838768</v>
      </c>
      <c r="I37" s="61">
        <v>10917920</v>
      </c>
      <c r="J37" s="61">
        <v>23758748</v>
      </c>
      <c r="K37" s="61">
        <v>38635532</v>
      </c>
      <c r="L37" s="61">
        <v>51991164</v>
      </c>
      <c r="M37" s="61">
        <v>6318072</v>
      </c>
      <c r="N37" s="61">
        <v>16464432</v>
      </c>
      <c r="O37" s="61">
        <v>27333516</v>
      </c>
      <c r="P37" s="62">
        <v>45.190693072862899</v>
      </c>
      <c r="Q37" s="62">
        <v>49.786015538066401</v>
      </c>
      <c r="R37" s="63">
        <v>0.99824257484259205</v>
      </c>
      <c r="S37" s="35">
        <v>97.503</v>
      </c>
      <c r="T37" s="35">
        <v>86.743799999999993</v>
      </c>
      <c r="U37" s="35">
        <v>4.8184199999999997</v>
      </c>
      <c r="V37" s="35">
        <v>1.4177</v>
      </c>
      <c r="W37" s="35">
        <v>90.117999999999995</v>
      </c>
      <c r="X37" s="36">
        <v>83.081699999999998</v>
      </c>
      <c r="Y37" s="34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3"/>
      <c r="AK37" s="63"/>
      <c r="AL37" s="63"/>
      <c r="AM37" s="35"/>
      <c r="AN37" s="35"/>
      <c r="AO37" s="35"/>
      <c r="AP37" s="35"/>
      <c r="AQ37" s="35"/>
      <c r="AR37" s="36"/>
      <c r="AS37" s="47"/>
      <c r="AT37" s="94"/>
      <c r="AU37" s="95"/>
      <c r="AV37" s="47"/>
      <c r="AW37" s="94"/>
      <c r="AX37" s="95"/>
      <c r="AY37" s="34">
        <f t="shared" si="4"/>
        <v>-1855373</v>
      </c>
      <c r="AZ37" s="61">
        <f t="shared" si="0"/>
        <v>-397464944</v>
      </c>
      <c r="BA37" s="61">
        <f t="shared" si="18"/>
        <v>-46610536</v>
      </c>
      <c r="BB37" s="61">
        <f t="shared" si="19"/>
        <v>-350838768</v>
      </c>
      <c r="BC37" s="61">
        <f t="shared" si="20"/>
        <v>-10917920</v>
      </c>
      <c r="BD37" s="61">
        <f t="shared" si="21"/>
        <v>-23758748</v>
      </c>
      <c r="BE37" s="61">
        <f t="shared" si="22"/>
        <v>-38635532</v>
      </c>
      <c r="BF37" s="61">
        <f t="shared" si="23"/>
        <v>-51991164</v>
      </c>
      <c r="BG37" s="61">
        <f t="shared" si="24"/>
        <v>-6318072</v>
      </c>
      <c r="BH37" s="61">
        <f t="shared" si="25"/>
        <v>-16464432</v>
      </c>
      <c r="BI37" s="61">
        <f t="shared" si="26"/>
        <v>-27333516</v>
      </c>
      <c r="BJ37" s="154">
        <f t="shared" si="27"/>
        <v>-45.190693072862899</v>
      </c>
      <c r="BK37" s="154">
        <f t="shared" si="28"/>
        <v>-49.786015538066401</v>
      </c>
      <c r="BL37" s="69">
        <f t="shared" si="29"/>
        <v>-0.99824257484259205</v>
      </c>
    </row>
    <row r="38" spans="1:64" x14ac:dyDescent="0.25">
      <c r="A38" s="242"/>
      <c r="B38" s="248"/>
      <c r="C38" s="27" t="s">
        <v>48</v>
      </c>
      <c r="D38" s="183"/>
      <c r="E38" s="34">
        <v>1855373</v>
      </c>
      <c r="F38" s="61">
        <v>503125048</v>
      </c>
      <c r="G38" s="61">
        <v>46610536</v>
      </c>
      <c r="H38" s="61">
        <v>456498984</v>
      </c>
      <c r="I38" s="61">
        <v>13581116</v>
      </c>
      <c r="J38" s="61">
        <v>32998180</v>
      </c>
      <c r="K38" s="61">
        <v>53179652</v>
      </c>
      <c r="L38" s="61">
        <v>71738900</v>
      </c>
      <c r="M38" s="61">
        <v>7143532</v>
      </c>
      <c r="N38" s="61">
        <v>18772916</v>
      </c>
      <c r="O38" s="61">
        <v>30835196</v>
      </c>
      <c r="P38" s="62">
        <v>49.244545871073697</v>
      </c>
      <c r="Q38" s="62">
        <v>53.615572394867499</v>
      </c>
      <c r="R38" s="63">
        <v>0.99872533717245604</v>
      </c>
      <c r="S38" s="35">
        <v>100.116</v>
      </c>
      <c r="T38" s="35">
        <v>91.692899999999995</v>
      </c>
      <c r="U38" s="35">
        <v>4.8250299999999999</v>
      </c>
      <c r="V38" s="35">
        <v>1.41727</v>
      </c>
      <c r="W38" s="35">
        <v>92.657899999999998</v>
      </c>
      <c r="X38" s="36">
        <v>87.556700000000006</v>
      </c>
      <c r="Y38" s="34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3"/>
      <c r="AK38" s="63"/>
      <c r="AL38" s="63"/>
      <c r="AM38" s="35"/>
      <c r="AN38" s="35"/>
      <c r="AO38" s="35"/>
      <c r="AP38" s="35"/>
      <c r="AQ38" s="35"/>
      <c r="AR38" s="36"/>
      <c r="AS38" s="47"/>
      <c r="AT38" s="94"/>
      <c r="AU38" s="95"/>
      <c r="AV38" s="47"/>
      <c r="AW38" s="94"/>
      <c r="AX38" s="95"/>
      <c r="AY38" s="34">
        <f t="shared" si="4"/>
        <v>-1855373</v>
      </c>
      <c r="AZ38" s="61">
        <f t="shared" si="0"/>
        <v>-503125048</v>
      </c>
      <c r="BA38" s="61">
        <f t="shared" si="18"/>
        <v>-46610536</v>
      </c>
      <c r="BB38" s="61">
        <f t="shared" si="19"/>
        <v>-456498984</v>
      </c>
      <c r="BC38" s="61">
        <f t="shared" si="20"/>
        <v>-13581116</v>
      </c>
      <c r="BD38" s="61">
        <f t="shared" si="21"/>
        <v>-32998180</v>
      </c>
      <c r="BE38" s="61">
        <f t="shared" si="22"/>
        <v>-53179652</v>
      </c>
      <c r="BF38" s="61">
        <f t="shared" si="23"/>
        <v>-71738900</v>
      </c>
      <c r="BG38" s="61">
        <f t="shared" si="24"/>
        <v>-7143532</v>
      </c>
      <c r="BH38" s="61">
        <f t="shared" si="25"/>
        <v>-18772916</v>
      </c>
      <c r="BI38" s="61">
        <f t="shared" si="26"/>
        <v>-30835196</v>
      </c>
      <c r="BJ38" s="154">
        <f t="shared" si="27"/>
        <v>-49.244545871073697</v>
      </c>
      <c r="BK38" s="154">
        <f t="shared" si="28"/>
        <v>-53.615572394867499</v>
      </c>
      <c r="BL38" s="69">
        <f t="shared" si="29"/>
        <v>-0.99872533717245604</v>
      </c>
    </row>
    <row r="39" spans="1:64" ht="15.75" thickBot="1" x14ac:dyDescent="0.3">
      <c r="A39" s="242"/>
      <c r="B39" s="249"/>
      <c r="C39" s="28" t="s">
        <v>49</v>
      </c>
      <c r="D39" s="44"/>
      <c r="E39" s="37">
        <v>1855373</v>
      </c>
      <c r="F39" s="64">
        <v>606714888</v>
      </c>
      <c r="G39" s="64">
        <v>46610536</v>
      </c>
      <c r="H39" s="64">
        <v>560088824</v>
      </c>
      <c r="I39" s="64">
        <v>16108300</v>
      </c>
      <c r="J39" s="64">
        <v>41494864</v>
      </c>
      <c r="K39" s="64">
        <v>67107572</v>
      </c>
      <c r="L39" s="64">
        <v>91521752</v>
      </c>
      <c r="M39" s="64">
        <v>8046176</v>
      </c>
      <c r="N39" s="64">
        <v>21198724</v>
      </c>
      <c r="O39" s="64">
        <v>34567024</v>
      </c>
      <c r="P39" s="65">
        <v>51.508924346372098</v>
      </c>
      <c r="Q39" s="65">
        <v>55.659671572142798</v>
      </c>
      <c r="R39" s="66">
        <v>0.99890855181359195</v>
      </c>
      <c r="S39" s="22">
        <v>103.502</v>
      </c>
      <c r="T39" s="22">
        <v>94.431899999999999</v>
      </c>
      <c r="U39" s="22">
        <v>4.7969499999999998</v>
      </c>
      <c r="V39" s="22">
        <v>1.4144399999999999</v>
      </c>
      <c r="W39" s="22">
        <v>95.482200000000006</v>
      </c>
      <c r="X39" s="38">
        <v>89.978800000000007</v>
      </c>
      <c r="Y39" s="37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6"/>
      <c r="AK39" s="66"/>
      <c r="AL39" s="66"/>
      <c r="AM39" s="22"/>
      <c r="AN39" s="22"/>
      <c r="AO39" s="22"/>
      <c r="AP39" s="22"/>
      <c r="AQ39" s="22"/>
      <c r="AR39" s="38"/>
      <c r="AS39" s="49"/>
      <c r="AT39" s="96"/>
      <c r="AU39" s="97"/>
      <c r="AV39" s="49"/>
      <c r="AW39" s="96"/>
      <c r="AX39" s="97"/>
      <c r="AY39" s="34">
        <f t="shared" si="4"/>
        <v>-1855373</v>
      </c>
      <c r="AZ39" s="64">
        <f t="shared" si="0"/>
        <v>-606714888</v>
      </c>
      <c r="BA39" s="64">
        <f t="shared" si="18"/>
        <v>-46610536</v>
      </c>
      <c r="BB39" s="64">
        <f t="shared" si="19"/>
        <v>-560088824</v>
      </c>
      <c r="BC39" s="64">
        <f t="shared" si="20"/>
        <v>-16108300</v>
      </c>
      <c r="BD39" s="64">
        <f t="shared" si="21"/>
        <v>-41494864</v>
      </c>
      <c r="BE39" s="64">
        <f t="shared" si="22"/>
        <v>-67107572</v>
      </c>
      <c r="BF39" s="64">
        <f t="shared" si="23"/>
        <v>-91521752</v>
      </c>
      <c r="BG39" s="64">
        <f t="shared" si="24"/>
        <v>-8046176</v>
      </c>
      <c r="BH39" s="64">
        <f t="shared" si="25"/>
        <v>-21198724</v>
      </c>
      <c r="BI39" s="64">
        <f t="shared" si="26"/>
        <v>-34567024</v>
      </c>
      <c r="BJ39" s="70">
        <f t="shared" si="27"/>
        <v>-51.508924346372098</v>
      </c>
      <c r="BK39" s="70">
        <f t="shared" si="28"/>
        <v>-55.659671572142798</v>
      </c>
      <c r="BL39" s="71">
        <f t="shared" si="29"/>
        <v>-0.99890855181359195</v>
      </c>
    </row>
    <row r="40" spans="1:64" x14ac:dyDescent="0.25">
      <c r="A40" s="242"/>
      <c r="B40" s="247" t="s">
        <v>1243</v>
      </c>
      <c r="C40" s="26" t="s">
        <v>45</v>
      </c>
      <c r="D40" s="43"/>
      <c r="E40" s="32">
        <v>157265</v>
      </c>
      <c r="F40" s="58">
        <v>20694160</v>
      </c>
      <c r="G40" s="58">
        <v>4272752</v>
      </c>
      <c r="H40" s="58">
        <v>16411328</v>
      </c>
      <c r="I40" s="58">
        <v>1696136</v>
      </c>
      <c r="J40" s="58">
        <v>1413712</v>
      </c>
      <c r="K40" s="58">
        <v>2420120</v>
      </c>
      <c r="L40" s="58">
        <v>3878824</v>
      </c>
      <c r="M40" s="58">
        <v>877504</v>
      </c>
      <c r="N40" s="58">
        <v>2378520</v>
      </c>
      <c r="O40" s="58">
        <v>3746512</v>
      </c>
      <c r="P40" s="59">
        <v>42.875421015050001</v>
      </c>
      <c r="Q40" s="59">
        <v>47.519144348837898</v>
      </c>
      <c r="R40" s="60">
        <v>0.998420751223563</v>
      </c>
      <c r="S40" s="21">
        <v>7.8422000000000001</v>
      </c>
      <c r="T40" s="21">
        <v>7.31602</v>
      </c>
      <c r="U40" s="21">
        <v>0.35852200000000001</v>
      </c>
      <c r="V40" s="21">
        <v>0.147978</v>
      </c>
      <c r="W40" s="21">
        <v>7.3121700000000001</v>
      </c>
      <c r="X40" s="33">
        <v>7.0468599999999997</v>
      </c>
      <c r="Y40" s="32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60"/>
      <c r="AK40" s="60"/>
      <c r="AL40" s="60"/>
      <c r="AM40" s="21"/>
      <c r="AN40" s="21"/>
      <c r="AO40" s="21"/>
      <c r="AP40" s="21"/>
      <c r="AQ40" s="21"/>
      <c r="AR40" s="33"/>
      <c r="AS40" s="171" t="str">
        <f ca="1">bdRateHermiteNew(INDIRECT("F40:F44"), INDIRECT("P40:P44"), INDIRECT("Z40:Z44"), INDIRECT("AJ40:AJ44"))</f>
        <v>No Test</v>
      </c>
      <c r="AT40" s="172" t="str">
        <f ca="1">bdRateHermiteNew(INDIRECT("F40:F44"), INDIRECT("Q40:Q44"), INDIRECT("Z40:Z44"), INDIRECT("AK40:AK44"))</f>
        <v>No Test</v>
      </c>
      <c r="AU40" s="173" t="str">
        <f ca="1">bdRateHermiteNew(INDIRECT("F40:F44"), INDIRECT("R40:R44"), INDIRECT("Z40:Z44"), INDIRECT("AL40:AL44"))</f>
        <v>No Test</v>
      </c>
      <c r="AV40" s="171" t="str">
        <f ca="1">bdRateHermiteNew(INDIRECT("H40:H44"), INDIRECT("P40:P44"), INDIRECT("AB40:AB44"), INDIRECT("AJ40:AJ44"))</f>
        <v>No Test</v>
      </c>
      <c r="AW40" s="172" t="str">
        <f ca="1">bdRateHermiteNew(INDIRECT("H40:H44"), INDIRECT("Q40:Q44"), INDIRECT("AB40:AB44"), INDIRECT("AK40:AK44"))</f>
        <v>No Test</v>
      </c>
      <c r="AX40" s="173" t="str">
        <f ca="1">bdRateHermiteNew(INDIRECT("H40:H44"), INDIRECT("R40:R44"), INDIRECT("AB40:AB44"), INDIRECT("AL40:AL44"))</f>
        <v>No Test</v>
      </c>
      <c r="AY40" s="32">
        <f t="shared" si="4"/>
        <v>-157265</v>
      </c>
      <c r="AZ40" s="58">
        <f t="shared" si="0"/>
        <v>-20694160</v>
      </c>
      <c r="BA40" s="58">
        <f t="shared" ref="BA40:BA49" si="30">AA40-G40</f>
        <v>-4272752</v>
      </c>
      <c r="BB40" s="58">
        <f t="shared" ref="BB40:BB49" si="31">AB40-H40</f>
        <v>-16411328</v>
      </c>
      <c r="BC40" s="58">
        <f t="shared" ref="BC40:BC49" si="32">AC40-I40</f>
        <v>-1696136</v>
      </c>
      <c r="BD40" s="58">
        <f t="shared" ref="BD40:BD49" si="33">AD40-J40</f>
        <v>-1413712</v>
      </c>
      <c r="BE40" s="58">
        <f t="shared" ref="BE40:BE49" si="34">AE40-K40</f>
        <v>-2420120</v>
      </c>
      <c r="BF40" s="58">
        <f t="shared" ref="BF40:BF49" si="35">AF40-L40</f>
        <v>-3878824</v>
      </c>
      <c r="BG40" s="58">
        <f t="shared" ref="BG40:BG49" si="36">AG40-M40</f>
        <v>-877504</v>
      </c>
      <c r="BH40" s="58">
        <f t="shared" ref="BH40:BH49" si="37">AH40-N40</f>
        <v>-2378520</v>
      </c>
      <c r="BI40" s="58">
        <f t="shared" ref="BI40:BI49" si="38">AI40-O40</f>
        <v>-3746512</v>
      </c>
      <c r="BJ40" s="67">
        <f t="shared" ref="BJ40:BJ49" si="39">AJ40-P40</f>
        <v>-42.875421015050001</v>
      </c>
      <c r="BK40" s="67">
        <f t="shared" ref="BK40:BK49" si="40">AK40-Q40</f>
        <v>-47.519144348837898</v>
      </c>
      <c r="BL40" s="68">
        <f t="shared" ref="BL40:BL49" si="41">AL40-R40</f>
        <v>-0.998420751223563</v>
      </c>
    </row>
    <row r="41" spans="1:64" x14ac:dyDescent="0.25">
      <c r="A41" s="242"/>
      <c r="B41" s="248"/>
      <c r="C41" s="27" t="s">
        <v>46</v>
      </c>
      <c r="D41" s="183"/>
      <c r="E41" s="34">
        <v>157265</v>
      </c>
      <c r="F41" s="61">
        <v>27788088</v>
      </c>
      <c r="G41" s="61">
        <v>4272752</v>
      </c>
      <c r="H41" s="61">
        <v>23505256</v>
      </c>
      <c r="I41" s="61">
        <v>2210968</v>
      </c>
      <c r="J41" s="61">
        <v>2444688</v>
      </c>
      <c r="K41" s="61">
        <v>4206848</v>
      </c>
      <c r="L41" s="61">
        <v>6530768</v>
      </c>
      <c r="M41" s="61">
        <v>1006952</v>
      </c>
      <c r="N41" s="61">
        <v>2830688</v>
      </c>
      <c r="O41" s="61">
        <v>4274344</v>
      </c>
      <c r="P41" s="62">
        <v>48.575918809194299</v>
      </c>
      <c r="Q41" s="62">
        <v>53.008294630556399</v>
      </c>
      <c r="R41" s="63">
        <v>0.99875742126982503</v>
      </c>
      <c r="S41" s="35">
        <v>7.9750800000000002</v>
      </c>
      <c r="T41" s="35">
        <v>7.5468999999999999</v>
      </c>
      <c r="U41" s="35">
        <v>0.358684</v>
      </c>
      <c r="V41" s="35">
        <v>0.14721100000000001</v>
      </c>
      <c r="W41" s="35">
        <v>7.4478799999999996</v>
      </c>
      <c r="X41" s="36">
        <v>7.2418199999999997</v>
      </c>
      <c r="Y41" s="34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3"/>
      <c r="AK41" s="63"/>
      <c r="AL41" s="63"/>
      <c r="AM41" s="35"/>
      <c r="AN41" s="35"/>
      <c r="AO41" s="35"/>
      <c r="AP41" s="35"/>
      <c r="AQ41" s="35"/>
      <c r="AR41" s="36"/>
      <c r="AS41" s="47"/>
      <c r="AT41" s="94"/>
      <c r="AU41" s="95"/>
      <c r="AV41" s="47"/>
      <c r="AW41" s="94"/>
      <c r="AX41" s="95"/>
      <c r="AY41" s="34">
        <f t="shared" si="4"/>
        <v>-157265</v>
      </c>
      <c r="AZ41" s="61">
        <f t="shared" si="0"/>
        <v>-27788088</v>
      </c>
      <c r="BA41" s="61">
        <f t="shared" si="30"/>
        <v>-4272752</v>
      </c>
      <c r="BB41" s="61">
        <f t="shared" si="31"/>
        <v>-23505256</v>
      </c>
      <c r="BC41" s="61">
        <f t="shared" si="32"/>
        <v>-2210968</v>
      </c>
      <c r="BD41" s="61">
        <f t="shared" si="33"/>
        <v>-2444688</v>
      </c>
      <c r="BE41" s="61">
        <f t="shared" si="34"/>
        <v>-4206848</v>
      </c>
      <c r="BF41" s="61">
        <f t="shared" si="35"/>
        <v>-6530768</v>
      </c>
      <c r="BG41" s="61">
        <f t="shared" si="36"/>
        <v>-1006952</v>
      </c>
      <c r="BH41" s="61">
        <f t="shared" si="37"/>
        <v>-2830688</v>
      </c>
      <c r="BI41" s="61">
        <f t="shared" si="38"/>
        <v>-4274344</v>
      </c>
      <c r="BJ41" s="154">
        <f t="shared" si="39"/>
        <v>-48.575918809194299</v>
      </c>
      <c r="BK41" s="154">
        <f t="shared" si="40"/>
        <v>-53.008294630556399</v>
      </c>
      <c r="BL41" s="69">
        <f t="shared" si="41"/>
        <v>-0.99875742126982503</v>
      </c>
    </row>
    <row r="42" spans="1:64" x14ac:dyDescent="0.25">
      <c r="A42" s="242"/>
      <c r="B42" s="248"/>
      <c r="C42" s="27" t="s">
        <v>47</v>
      </c>
      <c r="D42" s="183"/>
      <c r="E42" s="34">
        <v>157265</v>
      </c>
      <c r="F42" s="61">
        <v>36182104</v>
      </c>
      <c r="G42" s="61">
        <v>4272752</v>
      </c>
      <c r="H42" s="61">
        <v>31899272</v>
      </c>
      <c r="I42" s="61">
        <v>2675904</v>
      </c>
      <c r="J42" s="61">
        <v>3772976</v>
      </c>
      <c r="K42" s="61">
        <v>6452352</v>
      </c>
      <c r="L42" s="61">
        <v>9803008</v>
      </c>
      <c r="M42" s="61">
        <v>1134184</v>
      </c>
      <c r="N42" s="61">
        <v>3217200</v>
      </c>
      <c r="O42" s="61">
        <v>4843648</v>
      </c>
      <c r="P42" s="62">
        <v>52.772467310844398</v>
      </c>
      <c r="Q42" s="62">
        <v>56.744890805491103</v>
      </c>
      <c r="R42" s="63">
        <v>0.99890383687655304</v>
      </c>
      <c r="S42" s="35">
        <v>8.12941</v>
      </c>
      <c r="T42" s="35">
        <v>7.7185899999999998</v>
      </c>
      <c r="U42" s="35">
        <v>0.35855700000000001</v>
      </c>
      <c r="V42" s="35">
        <v>0.14763599999999999</v>
      </c>
      <c r="W42" s="35">
        <v>7.60189</v>
      </c>
      <c r="X42" s="36">
        <v>7.3903400000000001</v>
      </c>
      <c r="Y42" s="34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3"/>
      <c r="AK42" s="63"/>
      <c r="AL42" s="63"/>
      <c r="AM42" s="35"/>
      <c r="AN42" s="35"/>
      <c r="AO42" s="35"/>
      <c r="AP42" s="35"/>
      <c r="AQ42" s="35"/>
      <c r="AR42" s="36"/>
      <c r="AS42" s="47"/>
      <c r="AT42" s="94"/>
      <c r="AU42" s="95"/>
      <c r="AV42" s="47"/>
      <c r="AW42" s="94"/>
      <c r="AX42" s="95"/>
      <c r="AY42" s="34">
        <f t="shared" si="4"/>
        <v>-157265</v>
      </c>
      <c r="AZ42" s="61">
        <f t="shared" si="0"/>
        <v>-36182104</v>
      </c>
      <c r="BA42" s="61">
        <f t="shared" si="30"/>
        <v>-4272752</v>
      </c>
      <c r="BB42" s="61">
        <f t="shared" si="31"/>
        <v>-31899272</v>
      </c>
      <c r="BC42" s="61">
        <f t="shared" si="32"/>
        <v>-2675904</v>
      </c>
      <c r="BD42" s="61">
        <f t="shared" si="33"/>
        <v>-3772976</v>
      </c>
      <c r="BE42" s="61">
        <f t="shared" si="34"/>
        <v>-6452352</v>
      </c>
      <c r="BF42" s="61">
        <f t="shared" si="35"/>
        <v>-9803008</v>
      </c>
      <c r="BG42" s="61">
        <f t="shared" si="36"/>
        <v>-1134184</v>
      </c>
      <c r="BH42" s="61">
        <f t="shared" si="37"/>
        <v>-3217200</v>
      </c>
      <c r="BI42" s="61">
        <f t="shared" si="38"/>
        <v>-4843648</v>
      </c>
      <c r="BJ42" s="154">
        <f t="shared" si="39"/>
        <v>-52.772467310844398</v>
      </c>
      <c r="BK42" s="154">
        <f t="shared" si="40"/>
        <v>-56.744890805491103</v>
      </c>
      <c r="BL42" s="69">
        <f t="shared" si="41"/>
        <v>-0.99890383687655304</v>
      </c>
    </row>
    <row r="43" spans="1:64" x14ac:dyDescent="0.25">
      <c r="A43" s="242"/>
      <c r="B43" s="248"/>
      <c r="C43" s="27" t="s">
        <v>48</v>
      </c>
      <c r="D43" s="183"/>
      <c r="E43" s="34">
        <v>157265</v>
      </c>
      <c r="F43" s="61">
        <v>45334544</v>
      </c>
      <c r="G43" s="61">
        <v>4272752</v>
      </c>
      <c r="H43" s="61">
        <v>41051824</v>
      </c>
      <c r="I43" s="61">
        <v>3089200</v>
      </c>
      <c r="J43" s="61">
        <v>5316304</v>
      </c>
      <c r="K43" s="61">
        <v>8932264</v>
      </c>
      <c r="L43" s="61">
        <v>13346480</v>
      </c>
      <c r="M43" s="61">
        <v>1279504</v>
      </c>
      <c r="N43" s="61">
        <v>3633240</v>
      </c>
      <c r="O43" s="61">
        <v>5454832</v>
      </c>
      <c r="P43" s="62">
        <v>55.457409944270999</v>
      </c>
      <c r="Q43" s="62">
        <v>59.143925407032</v>
      </c>
      <c r="R43" s="63">
        <v>0.99912952839189295</v>
      </c>
      <c r="S43" s="35">
        <v>9.4169599999999996</v>
      </c>
      <c r="T43" s="35">
        <v>7.8637199999999998</v>
      </c>
      <c r="U43" s="35">
        <v>0.41839199999999999</v>
      </c>
      <c r="V43" s="35">
        <v>0.13763500000000001</v>
      </c>
      <c r="W43" s="35">
        <v>8.8242799999999999</v>
      </c>
      <c r="X43" s="36">
        <v>7.5191299999999996</v>
      </c>
      <c r="Y43" s="34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3"/>
      <c r="AK43" s="63"/>
      <c r="AL43" s="63"/>
      <c r="AM43" s="35"/>
      <c r="AN43" s="35"/>
      <c r="AO43" s="35"/>
      <c r="AP43" s="35"/>
      <c r="AQ43" s="35"/>
      <c r="AR43" s="36"/>
      <c r="AS43" s="47"/>
      <c r="AT43" s="94"/>
      <c r="AU43" s="95"/>
      <c r="AV43" s="47"/>
      <c r="AW43" s="94"/>
      <c r="AX43" s="95"/>
      <c r="AY43" s="34">
        <f t="shared" si="4"/>
        <v>-157265</v>
      </c>
      <c r="AZ43" s="61">
        <f t="shared" si="0"/>
        <v>-45334544</v>
      </c>
      <c r="BA43" s="61">
        <f t="shared" si="30"/>
        <v>-4272752</v>
      </c>
      <c r="BB43" s="61">
        <f t="shared" si="31"/>
        <v>-41051824</v>
      </c>
      <c r="BC43" s="61">
        <f t="shared" si="32"/>
        <v>-3089200</v>
      </c>
      <c r="BD43" s="61">
        <f t="shared" si="33"/>
        <v>-5316304</v>
      </c>
      <c r="BE43" s="61">
        <f t="shared" si="34"/>
        <v>-8932264</v>
      </c>
      <c r="BF43" s="61">
        <f t="shared" si="35"/>
        <v>-13346480</v>
      </c>
      <c r="BG43" s="61">
        <f t="shared" si="36"/>
        <v>-1279504</v>
      </c>
      <c r="BH43" s="61">
        <f t="shared" si="37"/>
        <v>-3633240</v>
      </c>
      <c r="BI43" s="61">
        <f t="shared" si="38"/>
        <v>-5454832</v>
      </c>
      <c r="BJ43" s="154">
        <f t="shared" si="39"/>
        <v>-55.457409944270999</v>
      </c>
      <c r="BK43" s="154">
        <f t="shared" si="40"/>
        <v>-59.143925407032</v>
      </c>
      <c r="BL43" s="69">
        <f t="shared" si="41"/>
        <v>-0.99912952839189295</v>
      </c>
    </row>
    <row r="44" spans="1:64" ht="15.75" thickBot="1" x14ac:dyDescent="0.3">
      <c r="A44" s="242"/>
      <c r="B44" s="249"/>
      <c r="C44" s="28" t="s">
        <v>49</v>
      </c>
      <c r="D44" s="44"/>
      <c r="E44" s="37">
        <v>157265</v>
      </c>
      <c r="F44" s="64">
        <v>54231720</v>
      </c>
      <c r="G44" s="64">
        <v>4272752</v>
      </c>
      <c r="H44" s="64">
        <v>49949000</v>
      </c>
      <c r="I44" s="64">
        <v>3494248</v>
      </c>
      <c r="J44" s="64">
        <v>6772152</v>
      </c>
      <c r="K44" s="64">
        <v>11365656</v>
      </c>
      <c r="L44" s="64">
        <v>16705664</v>
      </c>
      <c r="M44" s="64">
        <v>1436192</v>
      </c>
      <c r="N44" s="64">
        <v>4087648</v>
      </c>
      <c r="O44" s="64">
        <v>6087440</v>
      </c>
      <c r="P44" s="65">
        <v>57.690826696244898</v>
      </c>
      <c r="Q44" s="65">
        <v>61.168821421201002</v>
      </c>
      <c r="R44" s="66">
        <v>0.99936416322490296</v>
      </c>
      <c r="S44" s="22">
        <v>8.5139999999999993</v>
      </c>
      <c r="T44" s="22">
        <v>8.1229600000000008</v>
      </c>
      <c r="U44" s="22">
        <v>0.358269</v>
      </c>
      <c r="V44" s="22">
        <v>0.140237</v>
      </c>
      <c r="W44" s="22">
        <v>7.9883199999999999</v>
      </c>
      <c r="X44" s="38">
        <v>7.7398100000000003</v>
      </c>
      <c r="Y44" s="37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6"/>
      <c r="AK44" s="66"/>
      <c r="AL44" s="66"/>
      <c r="AM44" s="22"/>
      <c r="AN44" s="22"/>
      <c r="AO44" s="22"/>
      <c r="AP44" s="22"/>
      <c r="AQ44" s="22"/>
      <c r="AR44" s="38"/>
      <c r="AS44" s="49"/>
      <c r="AT44" s="96"/>
      <c r="AU44" s="97"/>
      <c r="AV44" s="49"/>
      <c r="AW44" s="96"/>
      <c r="AX44" s="97"/>
      <c r="AY44" s="34">
        <f t="shared" si="4"/>
        <v>-157265</v>
      </c>
      <c r="AZ44" s="64">
        <f t="shared" si="0"/>
        <v>-54231720</v>
      </c>
      <c r="BA44" s="64">
        <f t="shared" si="30"/>
        <v>-4272752</v>
      </c>
      <c r="BB44" s="64">
        <f t="shared" si="31"/>
        <v>-49949000</v>
      </c>
      <c r="BC44" s="64">
        <f t="shared" si="32"/>
        <v>-3494248</v>
      </c>
      <c r="BD44" s="64">
        <f t="shared" si="33"/>
        <v>-6772152</v>
      </c>
      <c r="BE44" s="64">
        <f t="shared" si="34"/>
        <v>-11365656</v>
      </c>
      <c r="BF44" s="64">
        <f t="shared" si="35"/>
        <v>-16705664</v>
      </c>
      <c r="BG44" s="64">
        <f t="shared" si="36"/>
        <v>-1436192</v>
      </c>
      <c r="BH44" s="64">
        <f t="shared" si="37"/>
        <v>-4087648</v>
      </c>
      <c r="BI44" s="64">
        <f t="shared" si="38"/>
        <v>-6087440</v>
      </c>
      <c r="BJ44" s="70">
        <f t="shared" si="39"/>
        <v>-57.690826696244898</v>
      </c>
      <c r="BK44" s="70">
        <f t="shared" si="40"/>
        <v>-61.168821421201002</v>
      </c>
      <c r="BL44" s="71">
        <f t="shared" si="41"/>
        <v>-0.99936416322490296</v>
      </c>
    </row>
    <row r="45" spans="1:64" x14ac:dyDescent="0.25">
      <c r="A45" s="242"/>
      <c r="B45" s="247" t="s">
        <v>1244</v>
      </c>
      <c r="C45" s="26" t="s">
        <v>45</v>
      </c>
      <c r="D45" s="43"/>
      <c r="E45" s="32">
        <v>199932</v>
      </c>
      <c r="F45" s="58">
        <v>24857400</v>
      </c>
      <c r="G45" s="58">
        <v>5103592</v>
      </c>
      <c r="H45" s="58">
        <v>19743728</v>
      </c>
      <c r="I45" s="58">
        <v>2385672</v>
      </c>
      <c r="J45" s="58">
        <v>1549360</v>
      </c>
      <c r="K45" s="58">
        <v>2622288</v>
      </c>
      <c r="L45" s="58">
        <v>4098808</v>
      </c>
      <c r="M45" s="58">
        <v>1143656</v>
      </c>
      <c r="N45" s="58">
        <v>3019728</v>
      </c>
      <c r="O45" s="58">
        <v>4924216</v>
      </c>
      <c r="P45" s="59">
        <v>41.175637467321003</v>
      </c>
      <c r="Q45" s="59">
        <v>45.8516457041504</v>
      </c>
      <c r="R45" s="60">
        <v>0.99840447767317897</v>
      </c>
      <c r="S45" s="21">
        <v>9.9368099999999995</v>
      </c>
      <c r="T45" s="21">
        <v>9.2165700000000008</v>
      </c>
      <c r="U45" s="21">
        <v>0.50470700000000002</v>
      </c>
      <c r="V45" s="21">
        <v>0.157861</v>
      </c>
      <c r="W45" s="21">
        <v>9.2124799999999993</v>
      </c>
      <c r="X45" s="33">
        <v>8.9035799999999998</v>
      </c>
      <c r="Y45" s="32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60"/>
      <c r="AK45" s="60"/>
      <c r="AL45" s="60"/>
      <c r="AM45" s="21"/>
      <c r="AN45" s="21"/>
      <c r="AO45" s="21"/>
      <c r="AP45" s="21"/>
      <c r="AQ45" s="21"/>
      <c r="AR45" s="33"/>
      <c r="AS45" s="171" t="str">
        <f ca="1">bdRateHermiteNew(INDIRECT("F45:F49"), INDIRECT("P45:P49"), INDIRECT("Z45:Z49"), INDIRECT("AJ45:AJ49"))</f>
        <v>No Test</v>
      </c>
      <c r="AT45" s="172" t="str">
        <f ca="1">bdRateHermiteNew(INDIRECT("F45:F49"), INDIRECT("Q45:Q49"), INDIRECT("Z45:Z49"), INDIRECT("AK45:AK49"))</f>
        <v>No Test</v>
      </c>
      <c r="AU45" s="173" t="str">
        <f ca="1">bdRateHermiteNew(INDIRECT("F45:F49"), INDIRECT("R45:R49"), INDIRECT("Z45:Z49"), INDIRECT("AL45:AL49"))</f>
        <v>No Test</v>
      </c>
      <c r="AV45" s="171" t="str">
        <f ca="1">bdRateHermiteNew(INDIRECT("H45:H49"), INDIRECT("P45:P49"), INDIRECT("AB45:AB49"), INDIRECT("AJ45:AJ49"))</f>
        <v>No Test</v>
      </c>
      <c r="AW45" s="172" t="str">
        <f ca="1">bdRateHermiteNew(INDIRECT("H45:H49"), INDIRECT("Q45:Q49"), INDIRECT("AB45:AB49"), INDIRECT("AK45:AK49"))</f>
        <v>No Test</v>
      </c>
      <c r="AX45" s="173" t="str">
        <f ca="1">bdRateHermiteNew(INDIRECT("H45:H49"), INDIRECT("R45:R49"), INDIRECT("AB45:AB49"), INDIRECT("AL45:AL49"))</f>
        <v>No Test</v>
      </c>
      <c r="AY45" s="32">
        <f t="shared" si="4"/>
        <v>-199932</v>
      </c>
      <c r="AZ45" s="58">
        <f t="shared" si="0"/>
        <v>-24857400</v>
      </c>
      <c r="BA45" s="58">
        <f t="shared" si="30"/>
        <v>-5103592</v>
      </c>
      <c r="BB45" s="58">
        <f t="shared" si="31"/>
        <v>-19743728</v>
      </c>
      <c r="BC45" s="58">
        <f t="shared" si="32"/>
        <v>-2385672</v>
      </c>
      <c r="BD45" s="58">
        <f t="shared" si="33"/>
        <v>-1549360</v>
      </c>
      <c r="BE45" s="58">
        <f t="shared" si="34"/>
        <v>-2622288</v>
      </c>
      <c r="BF45" s="58">
        <f t="shared" si="35"/>
        <v>-4098808</v>
      </c>
      <c r="BG45" s="58">
        <f t="shared" si="36"/>
        <v>-1143656</v>
      </c>
      <c r="BH45" s="58">
        <f t="shared" si="37"/>
        <v>-3019728</v>
      </c>
      <c r="BI45" s="58">
        <f t="shared" si="38"/>
        <v>-4924216</v>
      </c>
      <c r="BJ45" s="67">
        <f t="shared" si="39"/>
        <v>-41.175637467321003</v>
      </c>
      <c r="BK45" s="67">
        <f t="shared" si="40"/>
        <v>-45.8516457041504</v>
      </c>
      <c r="BL45" s="68">
        <f t="shared" si="41"/>
        <v>-0.99840447767317897</v>
      </c>
    </row>
    <row r="46" spans="1:64" x14ac:dyDescent="0.25">
      <c r="A46" s="242"/>
      <c r="B46" s="248"/>
      <c r="C46" s="27" t="s">
        <v>46</v>
      </c>
      <c r="D46" s="183"/>
      <c r="E46" s="34">
        <v>199932</v>
      </c>
      <c r="F46" s="61">
        <v>33462104</v>
      </c>
      <c r="G46" s="61">
        <v>5103592</v>
      </c>
      <c r="H46" s="61">
        <v>28348432</v>
      </c>
      <c r="I46" s="61">
        <v>3049576</v>
      </c>
      <c r="J46" s="61">
        <v>2817080</v>
      </c>
      <c r="K46" s="61">
        <v>4732040</v>
      </c>
      <c r="L46" s="61">
        <v>7260624</v>
      </c>
      <c r="M46" s="61">
        <v>1291888</v>
      </c>
      <c r="N46" s="61">
        <v>3609488</v>
      </c>
      <c r="O46" s="61">
        <v>5587736</v>
      </c>
      <c r="P46" s="62">
        <v>47.289138285313101</v>
      </c>
      <c r="Q46" s="62">
        <v>51.759981549465799</v>
      </c>
      <c r="R46" s="63">
        <v>0.99881346846116004</v>
      </c>
      <c r="S46" s="35">
        <v>10.0722</v>
      </c>
      <c r="T46" s="35">
        <v>9.9693500000000004</v>
      </c>
      <c r="U46" s="35">
        <v>0.50788100000000003</v>
      </c>
      <c r="V46" s="35">
        <v>0.217919</v>
      </c>
      <c r="W46" s="35">
        <v>9.3472200000000001</v>
      </c>
      <c r="X46" s="36">
        <v>9.5520200000000006</v>
      </c>
      <c r="Y46" s="34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3"/>
      <c r="AK46" s="63"/>
      <c r="AL46" s="63"/>
      <c r="AM46" s="35"/>
      <c r="AN46" s="35"/>
      <c r="AO46" s="35"/>
      <c r="AP46" s="35"/>
      <c r="AQ46" s="35"/>
      <c r="AR46" s="36"/>
      <c r="AS46" s="47"/>
      <c r="AT46" s="94"/>
      <c r="AU46" s="95"/>
      <c r="AV46" s="47"/>
      <c r="AW46" s="94"/>
      <c r="AX46" s="95"/>
      <c r="AY46" s="34">
        <f t="shared" si="4"/>
        <v>-199932</v>
      </c>
      <c r="AZ46" s="61">
        <f t="shared" si="0"/>
        <v>-33462104</v>
      </c>
      <c r="BA46" s="61">
        <f t="shared" si="30"/>
        <v>-5103592</v>
      </c>
      <c r="BB46" s="61">
        <f t="shared" si="31"/>
        <v>-28348432</v>
      </c>
      <c r="BC46" s="61">
        <f t="shared" si="32"/>
        <v>-3049576</v>
      </c>
      <c r="BD46" s="61">
        <f t="shared" si="33"/>
        <v>-2817080</v>
      </c>
      <c r="BE46" s="61">
        <f t="shared" si="34"/>
        <v>-4732040</v>
      </c>
      <c r="BF46" s="61">
        <f t="shared" si="35"/>
        <v>-7260624</v>
      </c>
      <c r="BG46" s="61">
        <f t="shared" si="36"/>
        <v>-1291888</v>
      </c>
      <c r="BH46" s="61">
        <f t="shared" si="37"/>
        <v>-3609488</v>
      </c>
      <c r="BI46" s="61">
        <f t="shared" si="38"/>
        <v>-5587736</v>
      </c>
      <c r="BJ46" s="154">
        <f t="shared" si="39"/>
        <v>-47.289138285313101</v>
      </c>
      <c r="BK46" s="154">
        <f t="shared" si="40"/>
        <v>-51.759981549465799</v>
      </c>
      <c r="BL46" s="69">
        <f t="shared" si="41"/>
        <v>-0.99881346846116004</v>
      </c>
    </row>
    <row r="47" spans="1:64" x14ac:dyDescent="0.25">
      <c r="A47" s="242"/>
      <c r="B47" s="248"/>
      <c r="C47" s="27" t="s">
        <v>47</v>
      </c>
      <c r="D47" s="183"/>
      <c r="E47" s="34">
        <v>199932</v>
      </c>
      <c r="F47" s="61">
        <v>43640048</v>
      </c>
      <c r="G47" s="61">
        <v>5103592</v>
      </c>
      <c r="H47" s="61">
        <v>38526376</v>
      </c>
      <c r="I47" s="61">
        <v>3627000</v>
      </c>
      <c r="J47" s="61">
        <v>4437776</v>
      </c>
      <c r="K47" s="61">
        <v>7425888</v>
      </c>
      <c r="L47" s="61">
        <v>11158560</v>
      </c>
      <c r="M47" s="61">
        <v>1458792</v>
      </c>
      <c r="N47" s="61">
        <v>4095304</v>
      </c>
      <c r="O47" s="61">
        <v>6323056</v>
      </c>
      <c r="P47" s="62">
        <v>51.9071344383864</v>
      </c>
      <c r="Q47" s="62">
        <v>55.967949425285802</v>
      </c>
      <c r="R47" s="63">
        <v>0.99896053013365005</v>
      </c>
      <c r="S47" s="35">
        <v>10.3828</v>
      </c>
      <c r="T47" s="35">
        <v>9.7049699999999994</v>
      </c>
      <c r="U47" s="35">
        <v>0.50757200000000002</v>
      </c>
      <c r="V47" s="35">
        <v>0.16689999999999999</v>
      </c>
      <c r="W47" s="35">
        <v>9.6554099999999998</v>
      </c>
      <c r="X47" s="36">
        <v>9.3145199999999999</v>
      </c>
      <c r="Y47" s="34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3"/>
      <c r="AK47" s="63"/>
      <c r="AL47" s="63"/>
      <c r="AM47" s="35"/>
      <c r="AN47" s="35"/>
      <c r="AO47" s="35"/>
      <c r="AP47" s="35"/>
      <c r="AQ47" s="35"/>
      <c r="AR47" s="36"/>
      <c r="AS47" s="47"/>
      <c r="AT47" s="94"/>
      <c r="AU47" s="95"/>
      <c r="AV47" s="47"/>
      <c r="AW47" s="94"/>
      <c r="AX47" s="95"/>
      <c r="AY47" s="34">
        <f t="shared" si="4"/>
        <v>-199932</v>
      </c>
      <c r="AZ47" s="61">
        <f t="shared" si="0"/>
        <v>-43640048</v>
      </c>
      <c r="BA47" s="61">
        <f t="shared" si="30"/>
        <v>-5103592</v>
      </c>
      <c r="BB47" s="61">
        <f t="shared" si="31"/>
        <v>-38526376</v>
      </c>
      <c r="BC47" s="61">
        <f t="shared" si="32"/>
        <v>-3627000</v>
      </c>
      <c r="BD47" s="61">
        <f t="shared" si="33"/>
        <v>-4437776</v>
      </c>
      <c r="BE47" s="61">
        <f t="shared" si="34"/>
        <v>-7425888</v>
      </c>
      <c r="BF47" s="61">
        <f t="shared" si="35"/>
        <v>-11158560</v>
      </c>
      <c r="BG47" s="61">
        <f t="shared" si="36"/>
        <v>-1458792</v>
      </c>
      <c r="BH47" s="61">
        <f t="shared" si="37"/>
        <v>-4095304</v>
      </c>
      <c r="BI47" s="61">
        <f t="shared" si="38"/>
        <v>-6323056</v>
      </c>
      <c r="BJ47" s="154">
        <f t="shared" si="39"/>
        <v>-51.9071344383864</v>
      </c>
      <c r="BK47" s="154">
        <f t="shared" si="40"/>
        <v>-55.967949425285802</v>
      </c>
      <c r="BL47" s="69">
        <f t="shared" si="41"/>
        <v>-0.99896053013365005</v>
      </c>
    </row>
    <row r="48" spans="1:64" x14ac:dyDescent="0.25">
      <c r="A48" s="242"/>
      <c r="B48" s="248"/>
      <c r="C48" s="27" t="s">
        <v>48</v>
      </c>
      <c r="D48" s="183"/>
      <c r="E48" s="34">
        <v>199932</v>
      </c>
      <c r="F48" s="61">
        <v>54898376</v>
      </c>
      <c r="G48" s="61">
        <v>5103592</v>
      </c>
      <c r="H48" s="61">
        <v>49784816</v>
      </c>
      <c r="I48" s="61">
        <v>4134736</v>
      </c>
      <c r="J48" s="61">
        <v>6345696</v>
      </c>
      <c r="K48" s="61">
        <v>10443360</v>
      </c>
      <c r="L48" s="61">
        <v>15482008</v>
      </c>
      <c r="M48" s="61">
        <v>1648264</v>
      </c>
      <c r="N48" s="61">
        <v>4618944</v>
      </c>
      <c r="O48" s="61">
        <v>7111808</v>
      </c>
      <c r="P48" s="62">
        <v>54.8820953191128</v>
      </c>
      <c r="Q48" s="62">
        <v>58.609312309684498</v>
      </c>
      <c r="R48" s="63">
        <v>0.99914842363984901</v>
      </c>
      <c r="S48" s="35">
        <v>10.6409</v>
      </c>
      <c r="T48" s="35">
        <v>10.142899999999999</v>
      </c>
      <c r="U48" s="35">
        <v>0.51076900000000003</v>
      </c>
      <c r="V48" s="35">
        <v>0.16628499999999999</v>
      </c>
      <c r="W48" s="35">
        <v>9.9116300000000006</v>
      </c>
      <c r="X48" s="36">
        <v>9.7101199999999999</v>
      </c>
      <c r="Y48" s="34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3"/>
      <c r="AK48" s="63"/>
      <c r="AL48" s="63"/>
      <c r="AM48" s="35"/>
      <c r="AN48" s="35"/>
      <c r="AO48" s="35"/>
      <c r="AP48" s="35"/>
      <c r="AQ48" s="35"/>
      <c r="AR48" s="36"/>
      <c r="AS48" s="47"/>
      <c r="AT48" s="94"/>
      <c r="AU48" s="95"/>
      <c r="AV48" s="47"/>
      <c r="AW48" s="94"/>
      <c r="AX48" s="95"/>
      <c r="AY48" s="34">
        <f t="shared" si="4"/>
        <v>-199932</v>
      </c>
      <c r="AZ48" s="61">
        <f t="shared" si="0"/>
        <v>-54898376</v>
      </c>
      <c r="BA48" s="61">
        <f t="shared" si="30"/>
        <v>-5103592</v>
      </c>
      <c r="BB48" s="61">
        <f t="shared" si="31"/>
        <v>-49784816</v>
      </c>
      <c r="BC48" s="61">
        <f t="shared" si="32"/>
        <v>-4134736</v>
      </c>
      <c r="BD48" s="61">
        <f t="shared" si="33"/>
        <v>-6345696</v>
      </c>
      <c r="BE48" s="61">
        <f t="shared" si="34"/>
        <v>-10443360</v>
      </c>
      <c r="BF48" s="61">
        <f t="shared" si="35"/>
        <v>-15482008</v>
      </c>
      <c r="BG48" s="61">
        <f t="shared" si="36"/>
        <v>-1648264</v>
      </c>
      <c r="BH48" s="61">
        <f t="shared" si="37"/>
        <v>-4618944</v>
      </c>
      <c r="BI48" s="61">
        <f t="shared" si="38"/>
        <v>-7111808</v>
      </c>
      <c r="BJ48" s="154">
        <f t="shared" si="39"/>
        <v>-54.8820953191128</v>
      </c>
      <c r="BK48" s="154">
        <f t="shared" si="40"/>
        <v>-58.609312309684498</v>
      </c>
      <c r="BL48" s="69">
        <f t="shared" si="41"/>
        <v>-0.99914842363984901</v>
      </c>
    </row>
    <row r="49" spans="1:64" ht="15.75" thickBot="1" x14ac:dyDescent="0.3">
      <c r="A49" s="242"/>
      <c r="B49" s="249"/>
      <c r="C49" s="28" t="s">
        <v>49</v>
      </c>
      <c r="D49" s="44"/>
      <c r="E49" s="37">
        <v>199932</v>
      </c>
      <c r="F49" s="64">
        <v>66638712</v>
      </c>
      <c r="G49" s="64">
        <v>5103592</v>
      </c>
      <c r="H49" s="64">
        <v>61525152</v>
      </c>
      <c r="I49" s="64">
        <v>4660880</v>
      </c>
      <c r="J49" s="64">
        <v>8297728</v>
      </c>
      <c r="K49" s="64">
        <v>13609584</v>
      </c>
      <c r="L49" s="64">
        <v>19989776</v>
      </c>
      <c r="M49" s="64">
        <v>1848784</v>
      </c>
      <c r="N49" s="64">
        <v>5194176</v>
      </c>
      <c r="O49" s="64">
        <v>7924224</v>
      </c>
      <c r="P49" s="65">
        <v>56.8232820988909</v>
      </c>
      <c r="Q49" s="65">
        <v>60.407544124400701</v>
      </c>
      <c r="R49" s="66">
        <v>0.99934192806859401</v>
      </c>
      <c r="S49" s="22">
        <v>12.157500000000001</v>
      </c>
      <c r="T49" s="22">
        <v>10.254799999999999</v>
      </c>
      <c r="U49" s="22">
        <v>0.50817699999999999</v>
      </c>
      <c r="V49" s="22">
        <v>0.151035</v>
      </c>
      <c r="W49" s="22">
        <v>11.4262</v>
      </c>
      <c r="X49" s="38">
        <v>9.8047699999999995</v>
      </c>
      <c r="Y49" s="37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6"/>
      <c r="AK49" s="66"/>
      <c r="AL49" s="66"/>
      <c r="AM49" s="22"/>
      <c r="AN49" s="22"/>
      <c r="AO49" s="22"/>
      <c r="AP49" s="22"/>
      <c r="AQ49" s="22"/>
      <c r="AR49" s="38"/>
      <c r="AS49" s="49"/>
      <c r="AT49" s="96"/>
      <c r="AU49" s="97"/>
      <c r="AV49" s="49"/>
      <c r="AW49" s="96"/>
      <c r="AX49" s="97"/>
      <c r="AY49" s="34">
        <f t="shared" si="4"/>
        <v>-199932</v>
      </c>
      <c r="AZ49" s="64">
        <f t="shared" si="0"/>
        <v>-66638712</v>
      </c>
      <c r="BA49" s="64">
        <f t="shared" si="30"/>
        <v>-5103592</v>
      </c>
      <c r="BB49" s="64">
        <f t="shared" si="31"/>
        <v>-61525152</v>
      </c>
      <c r="BC49" s="64">
        <f t="shared" si="32"/>
        <v>-4660880</v>
      </c>
      <c r="BD49" s="64">
        <f t="shared" si="33"/>
        <v>-8297728</v>
      </c>
      <c r="BE49" s="64">
        <f t="shared" si="34"/>
        <v>-13609584</v>
      </c>
      <c r="BF49" s="64">
        <f t="shared" si="35"/>
        <v>-19989776</v>
      </c>
      <c r="BG49" s="64">
        <f t="shared" si="36"/>
        <v>-1848784</v>
      </c>
      <c r="BH49" s="64">
        <f t="shared" si="37"/>
        <v>-5194176</v>
      </c>
      <c r="BI49" s="64">
        <f t="shared" si="38"/>
        <v>-7924224</v>
      </c>
      <c r="BJ49" s="70">
        <f t="shared" si="39"/>
        <v>-56.8232820988909</v>
      </c>
      <c r="BK49" s="70">
        <f t="shared" si="40"/>
        <v>-60.407544124400701</v>
      </c>
      <c r="BL49" s="71">
        <f t="shared" si="41"/>
        <v>-0.99934192806859401</v>
      </c>
    </row>
    <row r="50" spans="1:64" x14ac:dyDescent="0.25">
      <c r="A50" s="242"/>
      <c r="B50" s="247" t="s">
        <v>1342</v>
      </c>
      <c r="C50" s="26" t="s">
        <v>45</v>
      </c>
      <c r="D50" s="43"/>
      <c r="E50" s="32">
        <v>1006334</v>
      </c>
      <c r="F50" s="58">
        <v>169661176</v>
      </c>
      <c r="G50" s="58">
        <v>29696416</v>
      </c>
      <c r="H50" s="58">
        <v>139954680</v>
      </c>
      <c r="I50" s="58">
        <v>11262920</v>
      </c>
      <c r="J50" s="58">
        <v>15851832</v>
      </c>
      <c r="K50" s="58">
        <v>26370616</v>
      </c>
      <c r="L50" s="58">
        <v>37940528</v>
      </c>
      <c r="M50" s="58">
        <v>5462320</v>
      </c>
      <c r="N50" s="58">
        <v>16433640</v>
      </c>
      <c r="O50" s="58">
        <v>26632824</v>
      </c>
      <c r="P50" s="59">
        <v>36.053368563893599</v>
      </c>
      <c r="Q50" s="59">
        <v>40.800993679429602</v>
      </c>
      <c r="R50" s="60">
        <v>0.990984102454325</v>
      </c>
      <c r="S50" s="21">
        <v>51.681600000000003</v>
      </c>
      <c r="T50" s="21">
        <v>47.5488</v>
      </c>
      <c r="U50" s="21">
        <v>2.2566299999999999</v>
      </c>
      <c r="V50" s="21">
        <v>0.843642</v>
      </c>
      <c r="W50" s="21">
        <v>48.387500000000003</v>
      </c>
      <c r="X50" s="33">
        <v>45.831299999999999</v>
      </c>
      <c r="Y50" s="32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60"/>
      <c r="AK50" s="60"/>
      <c r="AL50" s="60"/>
      <c r="AM50" s="21"/>
      <c r="AN50" s="21"/>
      <c r="AO50" s="21"/>
      <c r="AP50" s="21"/>
      <c r="AQ50" s="21"/>
      <c r="AR50" s="33"/>
      <c r="AS50" s="171" t="str">
        <f ca="1">bdRateHermiteNew(INDIRECT("F50:F54"), INDIRECT("P50:P54"), INDIRECT("Z50:Z54"), INDIRECT("AJ50:AJ54"))</f>
        <v>No Test</v>
      </c>
      <c r="AT50" s="172" t="str">
        <f ca="1">bdRateHermiteNew(INDIRECT("F50:F54"), INDIRECT("Q50:Q54"), INDIRECT("Z50:Z54"), INDIRECT("AK50:AK54"))</f>
        <v>No Test</v>
      </c>
      <c r="AU50" s="173" t="str">
        <f ca="1">bdRateHermiteNew(INDIRECT("F50:F54"), INDIRECT("R50:R54"), INDIRECT("Z50:Z54"), INDIRECT("AL50:AL54"))</f>
        <v>No Test</v>
      </c>
      <c r="AV50" s="171" t="str">
        <f ca="1">bdRateHermiteNew(INDIRECT("H50:H54"), INDIRECT("P50:P54"), INDIRECT("AB50:AB54"), INDIRECT("AJ50:AJ54"))</f>
        <v>No Test</v>
      </c>
      <c r="AW50" s="172" t="str">
        <f ca="1">bdRateHermiteNew(INDIRECT("H50:H54"), INDIRECT("Q50:Q54"), INDIRECT("AB50:AB54"), INDIRECT("AK50:AK54"))</f>
        <v>No Test</v>
      </c>
      <c r="AX50" s="173" t="str">
        <f ca="1">bdRateHermiteNew(INDIRECT("H50:H54"), INDIRECT("R50:R54"), INDIRECT("AB50:AB54"), INDIRECT("AL50:AL54"))</f>
        <v>No Test</v>
      </c>
      <c r="AY50" s="32">
        <f t="shared" si="4"/>
        <v>-1006334</v>
      </c>
      <c r="AZ50" s="58">
        <f t="shared" si="0"/>
        <v>-169661176</v>
      </c>
      <c r="BA50" s="58">
        <f t="shared" si="18"/>
        <v>-29696416</v>
      </c>
      <c r="BB50" s="58">
        <f t="shared" si="19"/>
        <v>-139954680</v>
      </c>
      <c r="BC50" s="58">
        <f t="shared" si="20"/>
        <v>-11262920</v>
      </c>
      <c r="BD50" s="58">
        <f t="shared" si="21"/>
        <v>-15851832</v>
      </c>
      <c r="BE50" s="58">
        <f t="shared" si="22"/>
        <v>-26370616</v>
      </c>
      <c r="BF50" s="58">
        <f t="shared" si="23"/>
        <v>-37940528</v>
      </c>
      <c r="BG50" s="58">
        <f t="shared" si="24"/>
        <v>-5462320</v>
      </c>
      <c r="BH50" s="58">
        <f t="shared" si="25"/>
        <v>-16433640</v>
      </c>
      <c r="BI50" s="58">
        <f t="shared" si="26"/>
        <v>-26632824</v>
      </c>
      <c r="BJ50" s="67">
        <f t="shared" si="27"/>
        <v>-36.053368563893599</v>
      </c>
      <c r="BK50" s="67">
        <f t="shared" si="28"/>
        <v>-40.800993679429602</v>
      </c>
      <c r="BL50" s="68">
        <f t="shared" si="29"/>
        <v>-0.990984102454325</v>
      </c>
    </row>
    <row r="51" spans="1:64" x14ac:dyDescent="0.25">
      <c r="A51" s="242"/>
      <c r="B51" s="248"/>
      <c r="C51" s="27" t="s">
        <v>46</v>
      </c>
      <c r="D51" s="183"/>
      <c r="E51" s="34">
        <v>1006334</v>
      </c>
      <c r="F51" s="61">
        <v>223902368</v>
      </c>
      <c r="G51" s="61">
        <v>29696416</v>
      </c>
      <c r="H51" s="61">
        <v>194195872</v>
      </c>
      <c r="I51" s="61">
        <v>14824536</v>
      </c>
      <c r="J51" s="61">
        <v>24494832</v>
      </c>
      <c r="K51" s="61">
        <v>40896144</v>
      </c>
      <c r="L51" s="61">
        <v>58673024</v>
      </c>
      <c r="M51" s="61">
        <v>6438624</v>
      </c>
      <c r="N51" s="61">
        <v>18593840</v>
      </c>
      <c r="O51" s="61">
        <v>30274872</v>
      </c>
      <c r="P51" s="62">
        <v>41.851443792461502</v>
      </c>
      <c r="Q51" s="62">
        <v>46.545412018708497</v>
      </c>
      <c r="R51" s="63">
        <v>0.99687869845545296</v>
      </c>
      <c r="S51" s="35">
        <v>52.735700000000001</v>
      </c>
      <c r="T51" s="35">
        <v>47.399099999999997</v>
      </c>
      <c r="U51" s="35">
        <v>2.2421600000000002</v>
      </c>
      <c r="V51" s="35">
        <v>0.95281199999999999</v>
      </c>
      <c r="W51" s="35">
        <v>49.475700000000003</v>
      </c>
      <c r="X51" s="36">
        <v>45.404000000000003</v>
      </c>
      <c r="Y51" s="34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3"/>
      <c r="AK51" s="63"/>
      <c r="AL51" s="63"/>
      <c r="AM51" s="35"/>
      <c r="AN51" s="35"/>
      <c r="AO51" s="35"/>
      <c r="AP51" s="35"/>
      <c r="AQ51" s="35"/>
      <c r="AR51" s="36"/>
      <c r="AS51" s="47"/>
      <c r="AT51" s="94"/>
      <c r="AU51" s="95"/>
      <c r="AV51" s="47"/>
      <c r="AW51" s="94"/>
      <c r="AX51" s="95"/>
      <c r="AY51" s="34">
        <f t="shared" si="4"/>
        <v>-1006334</v>
      </c>
      <c r="AZ51" s="61">
        <f t="shared" si="0"/>
        <v>-223902368</v>
      </c>
      <c r="BA51" s="61">
        <f t="shared" si="18"/>
        <v>-29696416</v>
      </c>
      <c r="BB51" s="61">
        <f t="shared" si="19"/>
        <v>-194195872</v>
      </c>
      <c r="BC51" s="61">
        <f t="shared" si="20"/>
        <v>-14824536</v>
      </c>
      <c r="BD51" s="61">
        <f t="shared" si="21"/>
        <v>-24494832</v>
      </c>
      <c r="BE51" s="61">
        <f t="shared" si="22"/>
        <v>-40896144</v>
      </c>
      <c r="BF51" s="61">
        <f t="shared" si="23"/>
        <v>-58673024</v>
      </c>
      <c r="BG51" s="61">
        <f t="shared" si="24"/>
        <v>-6438624</v>
      </c>
      <c r="BH51" s="61">
        <f t="shared" si="25"/>
        <v>-18593840</v>
      </c>
      <c r="BI51" s="61">
        <f t="shared" si="26"/>
        <v>-30274872</v>
      </c>
      <c r="BJ51" s="154">
        <f t="shared" si="27"/>
        <v>-41.851443792461502</v>
      </c>
      <c r="BK51" s="154">
        <f t="shared" si="28"/>
        <v>-46.545412018708497</v>
      </c>
      <c r="BL51" s="69">
        <f t="shared" si="29"/>
        <v>-0.99687869845545296</v>
      </c>
    </row>
    <row r="52" spans="1:64" x14ac:dyDescent="0.25">
      <c r="A52" s="242"/>
      <c r="B52" s="248"/>
      <c r="C52" s="27" t="s">
        <v>47</v>
      </c>
      <c r="D52" s="183"/>
      <c r="E52" s="34">
        <v>1006334</v>
      </c>
      <c r="F52" s="61">
        <v>292759056</v>
      </c>
      <c r="G52" s="61">
        <v>29696416</v>
      </c>
      <c r="H52" s="61">
        <v>263052560</v>
      </c>
      <c r="I52" s="61">
        <v>17696208</v>
      </c>
      <c r="J52" s="61">
        <v>36350184</v>
      </c>
      <c r="K52" s="61">
        <v>60393424</v>
      </c>
      <c r="L52" s="61">
        <v>86021176</v>
      </c>
      <c r="M52" s="61">
        <v>7292936</v>
      </c>
      <c r="N52" s="61">
        <v>21115640</v>
      </c>
      <c r="O52" s="61">
        <v>34182992</v>
      </c>
      <c r="P52" s="62">
        <v>47.227573525447397</v>
      </c>
      <c r="Q52" s="62">
        <v>51.7593592274998</v>
      </c>
      <c r="R52" s="63">
        <v>0.99851307079348794</v>
      </c>
      <c r="S52" s="35">
        <v>51.396000000000001</v>
      </c>
      <c r="T52" s="35">
        <v>50.702399999999997</v>
      </c>
      <c r="U52" s="35">
        <v>2.2375699999999998</v>
      </c>
      <c r="V52" s="35">
        <v>0.83941399999999999</v>
      </c>
      <c r="W52" s="35">
        <v>48.073300000000003</v>
      </c>
      <c r="X52" s="36">
        <v>48.5182</v>
      </c>
      <c r="Y52" s="34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3"/>
      <c r="AK52" s="63"/>
      <c r="AL52" s="63"/>
      <c r="AM52" s="35"/>
      <c r="AN52" s="35"/>
      <c r="AO52" s="35"/>
      <c r="AP52" s="35"/>
      <c r="AQ52" s="35"/>
      <c r="AR52" s="36"/>
      <c r="AS52" s="47"/>
      <c r="AT52" s="94"/>
      <c r="AU52" s="95"/>
      <c r="AV52" s="47"/>
      <c r="AW52" s="94"/>
      <c r="AX52" s="95"/>
      <c r="AY52" s="34">
        <f t="shared" si="4"/>
        <v>-1006334</v>
      </c>
      <c r="AZ52" s="61">
        <f t="shared" si="0"/>
        <v>-292759056</v>
      </c>
      <c r="BA52" s="61">
        <f t="shared" si="18"/>
        <v>-29696416</v>
      </c>
      <c r="BB52" s="61">
        <f t="shared" si="19"/>
        <v>-263052560</v>
      </c>
      <c r="BC52" s="61">
        <f t="shared" si="20"/>
        <v>-17696208</v>
      </c>
      <c r="BD52" s="61">
        <f t="shared" si="21"/>
        <v>-36350184</v>
      </c>
      <c r="BE52" s="61">
        <f t="shared" si="22"/>
        <v>-60393424</v>
      </c>
      <c r="BF52" s="61">
        <f t="shared" si="23"/>
        <v>-86021176</v>
      </c>
      <c r="BG52" s="61">
        <f t="shared" si="24"/>
        <v>-7292936</v>
      </c>
      <c r="BH52" s="61">
        <f t="shared" si="25"/>
        <v>-21115640</v>
      </c>
      <c r="BI52" s="61">
        <f t="shared" si="26"/>
        <v>-34182992</v>
      </c>
      <c r="BJ52" s="154">
        <f t="shared" si="27"/>
        <v>-47.227573525447397</v>
      </c>
      <c r="BK52" s="154">
        <f t="shared" si="28"/>
        <v>-51.7593592274998</v>
      </c>
      <c r="BL52" s="69">
        <f t="shared" si="29"/>
        <v>-0.99851307079348794</v>
      </c>
    </row>
    <row r="53" spans="1:64" x14ac:dyDescent="0.25">
      <c r="A53" s="242"/>
      <c r="B53" s="248"/>
      <c r="C53" s="27" t="s">
        <v>48</v>
      </c>
      <c r="D53" s="183"/>
      <c r="E53" s="34">
        <v>1006334</v>
      </c>
      <c r="F53" s="61">
        <v>358433912</v>
      </c>
      <c r="G53" s="61">
        <v>29696416</v>
      </c>
      <c r="H53" s="61">
        <v>328727528</v>
      </c>
      <c r="I53" s="61">
        <v>20138616</v>
      </c>
      <c r="J53" s="61">
        <v>47772464</v>
      </c>
      <c r="K53" s="61">
        <v>78808024</v>
      </c>
      <c r="L53" s="61">
        <v>111464432</v>
      </c>
      <c r="M53" s="61">
        <v>8217472</v>
      </c>
      <c r="N53" s="61">
        <v>23927992</v>
      </c>
      <c r="O53" s="61">
        <v>38398528</v>
      </c>
      <c r="P53" s="62">
        <v>51.636645636684101</v>
      </c>
      <c r="Q53" s="62">
        <v>55.854409290352599</v>
      </c>
      <c r="R53" s="63">
        <v>0.99903002015247599</v>
      </c>
      <c r="S53" s="35">
        <v>55.763199999999998</v>
      </c>
      <c r="T53" s="35">
        <v>56.883000000000003</v>
      </c>
      <c r="U53" s="35">
        <v>2.25339</v>
      </c>
      <c r="V53" s="35">
        <v>1.1310800000000001</v>
      </c>
      <c r="W53" s="35">
        <v>52.475900000000003</v>
      </c>
      <c r="X53" s="36">
        <v>54.084400000000002</v>
      </c>
      <c r="Y53" s="34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3"/>
      <c r="AK53" s="63"/>
      <c r="AL53" s="63"/>
      <c r="AM53" s="35"/>
      <c r="AN53" s="35"/>
      <c r="AO53" s="35"/>
      <c r="AP53" s="35"/>
      <c r="AQ53" s="35"/>
      <c r="AR53" s="36"/>
      <c r="AS53" s="47"/>
      <c r="AT53" s="94"/>
      <c r="AU53" s="95"/>
      <c r="AV53" s="47"/>
      <c r="AW53" s="94"/>
      <c r="AX53" s="95"/>
      <c r="AY53" s="34">
        <f t="shared" si="4"/>
        <v>-1006334</v>
      </c>
      <c r="AZ53" s="61">
        <f t="shared" si="0"/>
        <v>-358433912</v>
      </c>
      <c r="BA53" s="61">
        <f t="shared" si="18"/>
        <v>-29696416</v>
      </c>
      <c r="BB53" s="61">
        <f t="shared" si="19"/>
        <v>-328727528</v>
      </c>
      <c r="BC53" s="61">
        <f t="shared" si="20"/>
        <v>-20138616</v>
      </c>
      <c r="BD53" s="61">
        <f t="shared" si="21"/>
        <v>-47772464</v>
      </c>
      <c r="BE53" s="61">
        <f t="shared" si="22"/>
        <v>-78808024</v>
      </c>
      <c r="BF53" s="61">
        <f t="shared" si="23"/>
        <v>-111464432</v>
      </c>
      <c r="BG53" s="61">
        <f t="shared" si="24"/>
        <v>-8217472</v>
      </c>
      <c r="BH53" s="61">
        <f t="shared" si="25"/>
        <v>-23927992</v>
      </c>
      <c r="BI53" s="61">
        <f t="shared" si="26"/>
        <v>-38398528</v>
      </c>
      <c r="BJ53" s="154">
        <f t="shared" si="27"/>
        <v>-51.636645636684101</v>
      </c>
      <c r="BK53" s="154">
        <f t="shared" si="28"/>
        <v>-55.854409290352599</v>
      </c>
      <c r="BL53" s="69">
        <f t="shared" si="29"/>
        <v>-0.99903002015247599</v>
      </c>
    </row>
    <row r="54" spans="1:64" ht="15.75" thickBot="1" x14ac:dyDescent="0.3">
      <c r="A54" s="242"/>
      <c r="B54" s="249"/>
      <c r="C54" s="28" t="s">
        <v>49</v>
      </c>
      <c r="D54" s="44"/>
      <c r="E54" s="37">
        <v>1006334</v>
      </c>
      <c r="F54" s="64">
        <v>404605432</v>
      </c>
      <c r="G54" s="64">
        <v>29696416</v>
      </c>
      <c r="H54" s="64">
        <v>374899048</v>
      </c>
      <c r="I54" s="64">
        <v>22765496</v>
      </c>
      <c r="J54" s="64">
        <v>54769384</v>
      </c>
      <c r="K54" s="64">
        <v>90670328</v>
      </c>
      <c r="L54" s="64">
        <v>128102368</v>
      </c>
      <c r="M54" s="64">
        <v>9214368</v>
      </c>
      <c r="N54" s="64">
        <v>26944112</v>
      </c>
      <c r="O54" s="64">
        <v>42432992</v>
      </c>
      <c r="P54" s="65">
        <v>54.538863563356799</v>
      </c>
      <c r="Q54" s="65">
        <v>58.444061778636097</v>
      </c>
      <c r="R54" s="66">
        <v>0.99924180446306898</v>
      </c>
      <c r="S54" s="22">
        <v>54.145200000000003</v>
      </c>
      <c r="T54" s="22">
        <v>53.499299999999998</v>
      </c>
      <c r="U54" s="22">
        <v>2.3005300000000002</v>
      </c>
      <c r="V54" s="22">
        <v>0.84562199999999998</v>
      </c>
      <c r="W54" s="22">
        <v>50.758699999999997</v>
      </c>
      <c r="X54" s="38">
        <v>50.932000000000002</v>
      </c>
      <c r="Y54" s="37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6"/>
      <c r="AK54" s="66"/>
      <c r="AL54" s="66"/>
      <c r="AM54" s="22"/>
      <c r="AN54" s="22"/>
      <c r="AO54" s="22"/>
      <c r="AP54" s="22"/>
      <c r="AQ54" s="22"/>
      <c r="AR54" s="38"/>
      <c r="AS54" s="48"/>
      <c r="AT54" s="98"/>
      <c r="AU54" s="99"/>
      <c r="AV54" s="48"/>
      <c r="AW54" s="98"/>
      <c r="AX54" s="99"/>
      <c r="AY54" s="34">
        <f t="shared" si="4"/>
        <v>-1006334</v>
      </c>
      <c r="AZ54" s="64">
        <f t="shared" si="0"/>
        <v>-404605432</v>
      </c>
      <c r="BA54" s="64">
        <f t="shared" si="18"/>
        <v>-29696416</v>
      </c>
      <c r="BB54" s="64">
        <f t="shared" si="19"/>
        <v>-374899048</v>
      </c>
      <c r="BC54" s="64">
        <f t="shared" si="20"/>
        <v>-22765496</v>
      </c>
      <c r="BD54" s="64">
        <f t="shared" si="21"/>
        <v>-54769384</v>
      </c>
      <c r="BE54" s="64">
        <f t="shared" si="22"/>
        <v>-90670328</v>
      </c>
      <c r="BF54" s="64">
        <f t="shared" si="23"/>
        <v>-128102368</v>
      </c>
      <c r="BG54" s="64">
        <f t="shared" si="24"/>
        <v>-9214368</v>
      </c>
      <c r="BH54" s="64">
        <f t="shared" si="25"/>
        <v>-26944112</v>
      </c>
      <c r="BI54" s="64">
        <f t="shared" si="26"/>
        <v>-42432992</v>
      </c>
      <c r="BJ54" s="70">
        <f t="shared" si="27"/>
        <v>-54.538863563356799</v>
      </c>
      <c r="BK54" s="70">
        <f t="shared" si="28"/>
        <v>-58.444061778636097</v>
      </c>
      <c r="BL54" s="71">
        <f t="shared" si="29"/>
        <v>-0.99924180446306898</v>
      </c>
    </row>
    <row r="55" spans="1:64" x14ac:dyDescent="0.25">
      <c r="A55" s="242"/>
      <c r="B55" s="247" t="s">
        <v>1343</v>
      </c>
      <c r="C55" s="26" t="s">
        <v>45</v>
      </c>
      <c r="D55" s="43"/>
      <c r="E55" s="32">
        <v>1158601</v>
      </c>
      <c r="F55" s="58">
        <v>189831160</v>
      </c>
      <c r="G55" s="58">
        <v>32471424</v>
      </c>
      <c r="H55" s="58">
        <v>157344096</v>
      </c>
      <c r="I55" s="58">
        <v>5903468</v>
      </c>
      <c r="J55" s="58">
        <v>8526724</v>
      </c>
      <c r="K55" s="58">
        <v>14869008</v>
      </c>
      <c r="L55" s="58">
        <v>21565496</v>
      </c>
      <c r="M55" s="58">
        <v>3253276</v>
      </c>
      <c r="N55" s="58">
        <v>9800468</v>
      </c>
      <c r="O55" s="58">
        <v>14753608</v>
      </c>
      <c r="P55" s="59">
        <v>33.1867661573256</v>
      </c>
      <c r="Q55" s="59">
        <v>37.551457948154898</v>
      </c>
      <c r="R55" s="60">
        <v>0.98333717078275396</v>
      </c>
      <c r="S55" s="21">
        <v>60.448700000000002</v>
      </c>
      <c r="T55" s="21">
        <v>54.213099999999997</v>
      </c>
      <c r="U55" s="21">
        <v>2.9438900000000001</v>
      </c>
      <c r="V55" s="21">
        <v>0.90941399999999994</v>
      </c>
      <c r="W55" s="21">
        <v>55.844000000000001</v>
      </c>
      <c r="X55" s="33">
        <v>51.902900000000002</v>
      </c>
      <c r="Y55" s="32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60"/>
      <c r="AK55" s="60"/>
      <c r="AL55" s="60"/>
      <c r="AM55" s="21"/>
      <c r="AN55" s="21"/>
      <c r="AO55" s="21"/>
      <c r="AP55" s="21"/>
      <c r="AQ55" s="21"/>
      <c r="AR55" s="33"/>
      <c r="AS55" s="171" t="str">
        <f ca="1">bdRateHermiteNew(INDIRECT("F55:F59"), INDIRECT("P55:P59"), INDIRECT("Z55:Z59"), INDIRECT("AJ55:AJ59"))</f>
        <v>No Test</v>
      </c>
      <c r="AT55" s="172" t="str">
        <f ca="1">bdRateHermiteNew(INDIRECT("F55:F59"), INDIRECT("Q55:Q59"), INDIRECT("Z55:Z59"), INDIRECT("AK55:AK59"))</f>
        <v>No Test</v>
      </c>
      <c r="AU55" s="173" t="str">
        <f ca="1">bdRateHermiteNew(INDIRECT("F55:F59"), INDIRECT("R55:R59"), INDIRECT("Z55:Z59"), INDIRECT("AL55:AL59"))</f>
        <v>No Test</v>
      </c>
      <c r="AV55" s="171" t="str">
        <f ca="1">bdRateHermiteNew(INDIRECT("H55:H59"), INDIRECT("P55:P59"), INDIRECT("AB55:AB59"), INDIRECT("AJ55:AJ59"))</f>
        <v>No Test</v>
      </c>
      <c r="AW55" s="172" t="str">
        <f ca="1">bdRateHermiteNew(INDIRECT("H55:H59"), INDIRECT("Q55:Q59"), INDIRECT("AB55:AB59"), INDIRECT("AK55:AK59"))</f>
        <v>No Test</v>
      </c>
      <c r="AX55" s="173" t="str">
        <f ca="1">bdRateHermiteNew(INDIRECT("H55:H59"), INDIRECT("R55:R59"), INDIRECT("AB55:AB59"), INDIRECT("AL55:AL59"))</f>
        <v>No Test</v>
      </c>
      <c r="AY55" s="32">
        <f t="shared" si="4"/>
        <v>-1158601</v>
      </c>
      <c r="AZ55" s="58">
        <f t="shared" ref="AZ55:AZ84" si="42">Z55-F55</f>
        <v>-189831160</v>
      </c>
      <c r="BA55" s="58">
        <f t="shared" si="18"/>
        <v>-32471424</v>
      </c>
      <c r="BB55" s="58">
        <f t="shared" si="19"/>
        <v>-157344096</v>
      </c>
      <c r="BC55" s="58">
        <f t="shared" si="20"/>
        <v>-5903468</v>
      </c>
      <c r="BD55" s="58">
        <f t="shared" si="21"/>
        <v>-8526724</v>
      </c>
      <c r="BE55" s="58">
        <f t="shared" si="22"/>
        <v>-14869008</v>
      </c>
      <c r="BF55" s="58">
        <f t="shared" si="23"/>
        <v>-21565496</v>
      </c>
      <c r="BG55" s="58">
        <f t="shared" si="24"/>
        <v>-3253276</v>
      </c>
      <c r="BH55" s="58">
        <f t="shared" si="25"/>
        <v>-9800468</v>
      </c>
      <c r="BI55" s="58">
        <f t="shared" si="26"/>
        <v>-14753608</v>
      </c>
      <c r="BJ55" s="67">
        <f t="shared" si="27"/>
        <v>-33.1867661573256</v>
      </c>
      <c r="BK55" s="67">
        <f t="shared" si="28"/>
        <v>-37.551457948154898</v>
      </c>
      <c r="BL55" s="68">
        <f>AL55-R55</f>
        <v>-0.98333717078275396</v>
      </c>
    </row>
    <row r="56" spans="1:64" x14ac:dyDescent="0.25">
      <c r="A56" s="242"/>
      <c r="B56" s="248"/>
      <c r="C56" s="27" t="s">
        <v>46</v>
      </c>
      <c r="D56" s="183"/>
      <c r="E56" s="34">
        <v>1158601</v>
      </c>
      <c r="F56" s="61">
        <v>251584824</v>
      </c>
      <c r="G56" s="61">
        <v>32471424</v>
      </c>
      <c r="H56" s="61">
        <v>219097760</v>
      </c>
      <c r="I56" s="61">
        <v>7912000</v>
      </c>
      <c r="J56" s="61">
        <v>13435264</v>
      </c>
      <c r="K56" s="61">
        <v>23183028</v>
      </c>
      <c r="L56" s="61">
        <v>33447348</v>
      </c>
      <c r="M56" s="61">
        <v>3793944</v>
      </c>
      <c r="N56" s="61">
        <v>11028236</v>
      </c>
      <c r="O56" s="61">
        <v>16749060</v>
      </c>
      <c r="P56" s="62">
        <v>39.132887372244298</v>
      </c>
      <c r="Q56" s="62">
        <v>43.4348302501527</v>
      </c>
      <c r="R56" s="63">
        <v>0.99462354238213202</v>
      </c>
      <c r="S56" s="35">
        <v>63.595300000000002</v>
      </c>
      <c r="T56" s="35">
        <v>55.240099999999998</v>
      </c>
      <c r="U56" s="35">
        <v>2.9534699999999998</v>
      </c>
      <c r="V56" s="35">
        <v>0.90029599999999999</v>
      </c>
      <c r="W56" s="35">
        <v>59.121600000000001</v>
      </c>
      <c r="X56" s="36">
        <v>52.9542</v>
      </c>
      <c r="Y56" s="34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3"/>
      <c r="AK56" s="63"/>
      <c r="AL56" s="63"/>
      <c r="AM56" s="35"/>
      <c r="AN56" s="35"/>
      <c r="AO56" s="35"/>
      <c r="AP56" s="35"/>
      <c r="AQ56" s="35"/>
      <c r="AR56" s="36"/>
      <c r="AS56" s="47"/>
      <c r="AT56" s="94"/>
      <c r="AU56" s="95"/>
      <c r="AV56" s="47"/>
      <c r="AW56" s="94"/>
      <c r="AX56" s="95"/>
      <c r="AY56" s="34">
        <f t="shared" si="4"/>
        <v>-1158601</v>
      </c>
      <c r="AZ56" s="61">
        <f t="shared" si="42"/>
        <v>-251584824</v>
      </c>
      <c r="BA56" s="61">
        <f t="shared" si="18"/>
        <v>-32471424</v>
      </c>
      <c r="BB56" s="61">
        <f t="shared" si="19"/>
        <v>-219097760</v>
      </c>
      <c r="BC56" s="61">
        <f t="shared" si="20"/>
        <v>-7912000</v>
      </c>
      <c r="BD56" s="61">
        <f t="shared" si="21"/>
        <v>-13435264</v>
      </c>
      <c r="BE56" s="61">
        <f t="shared" si="22"/>
        <v>-23183028</v>
      </c>
      <c r="BF56" s="61">
        <f t="shared" si="23"/>
        <v>-33447348</v>
      </c>
      <c r="BG56" s="61">
        <f t="shared" si="24"/>
        <v>-3793944</v>
      </c>
      <c r="BH56" s="61">
        <f t="shared" si="25"/>
        <v>-11028236</v>
      </c>
      <c r="BI56" s="61">
        <f t="shared" si="26"/>
        <v>-16749060</v>
      </c>
      <c r="BJ56" s="154">
        <f t="shared" si="27"/>
        <v>-39.132887372244298</v>
      </c>
      <c r="BK56" s="154">
        <f t="shared" si="28"/>
        <v>-43.4348302501527</v>
      </c>
      <c r="BL56" s="69">
        <f t="shared" ref="BL56:BL59" si="43">AL56-R56</f>
        <v>-0.99462354238213202</v>
      </c>
    </row>
    <row r="57" spans="1:64" x14ac:dyDescent="0.25">
      <c r="A57" s="242"/>
      <c r="B57" s="248"/>
      <c r="C57" s="27" t="s">
        <v>47</v>
      </c>
      <c r="D57" s="183"/>
      <c r="E57" s="34">
        <v>1158601</v>
      </c>
      <c r="F57" s="61">
        <v>329222816</v>
      </c>
      <c r="G57" s="61">
        <v>32471424</v>
      </c>
      <c r="H57" s="61">
        <v>296735752</v>
      </c>
      <c r="I57" s="61">
        <v>9732108</v>
      </c>
      <c r="J57" s="61">
        <v>19949168</v>
      </c>
      <c r="K57" s="61">
        <v>34104652</v>
      </c>
      <c r="L57" s="61">
        <v>48730036</v>
      </c>
      <c r="M57" s="61">
        <v>4317912</v>
      </c>
      <c r="N57" s="61">
        <v>12562100</v>
      </c>
      <c r="O57" s="61">
        <v>18971900</v>
      </c>
      <c r="P57" s="62">
        <v>44.697676986710597</v>
      </c>
      <c r="Q57" s="62">
        <v>48.9257610347642</v>
      </c>
      <c r="R57" s="63">
        <v>0.99784627996667896</v>
      </c>
      <c r="S57" s="35">
        <v>57.040900000000001</v>
      </c>
      <c r="T57" s="35">
        <v>60.3767</v>
      </c>
      <c r="U57" s="35">
        <v>2.7172399999999999</v>
      </c>
      <c r="V57" s="35">
        <v>0.94600600000000001</v>
      </c>
      <c r="W57" s="35">
        <v>52.892099999999999</v>
      </c>
      <c r="X57" s="36">
        <v>57.6218</v>
      </c>
      <c r="Y57" s="34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3"/>
      <c r="AK57" s="63"/>
      <c r="AL57" s="63"/>
      <c r="AM57" s="35"/>
      <c r="AN57" s="35"/>
      <c r="AO57" s="35"/>
      <c r="AP57" s="35"/>
      <c r="AQ57" s="35"/>
      <c r="AR57" s="36"/>
      <c r="AS57" s="47"/>
      <c r="AT57" s="94"/>
      <c r="AU57" s="95"/>
      <c r="AV57" s="47"/>
      <c r="AW57" s="94"/>
      <c r="AX57" s="95"/>
      <c r="AY57" s="34">
        <f t="shared" si="4"/>
        <v>-1158601</v>
      </c>
      <c r="AZ57" s="61">
        <f t="shared" si="42"/>
        <v>-329222816</v>
      </c>
      <c r="BA57" s="61">
        <f t="shared" si="18"/>
        <v>-32471424</v>
      </c>
      <c r="BB57" s="61">
        <f t="shared" si="19"/>
        <v>-296735752</v>
      </c>
      <c r="BC57" s="61">
        <f t="shared" si="20"/>
        <v>-9732108</v>
      </c>
      <c r="BD57" s="61">
        <f t="shared" si="21"/>
        <v>-19949168</v>
      </c>
      <c r="BE57" s="61">
        <f t="shared" si="22"/>
        <v>-34104652</v>
      </c>
      <c r="BF57" s="61">
        <f t="shared" si="23"/>
        <v>-48730036</v>
      </c>
      <c r="BG57" s="61">
        <f t="shared" si="24"/>
        <v>-4317912</v>
      </c>
      <c r="BH57" s="61">
        <f t="shared" si="25"/>
        <v>-12562100</v>
      </c>
      <c r="BI57" s="61">
        <f t="shared" si="26"/>
        <v>-18971900</v>
      </c>
      <c r="BJ57" s="154">
        <f t="shared" si="27"/>
        <v>-44.697676986710597</v>
      </c>
      <c r="BK57" s="154">
        <f t="shared" si="28"/>
        <v>-48.9257610347642</v>
      </c>
      <c r="BL57" s="69">
        <f t="shared" si="43"/>
        <v>-0.99784627996667896</v>
      </c>
    </row>
    <row r="58" spans="1:64" x14ac:dyDescent="0.25">
      <c r="A58" s="242"/>
      <c r="B58" s="248"/>
      <c r="C58" s="27" t="s">
        <v>48</v>
      </c>
      <c r="D58" s="183"/>
      <c r="E58" s="34">
        <v>1158601</v>
      </c>
      <c r="F58" s="61">
        <v>404675720</v>
      </c>
      <c r="G58" s="61">
        <v>32471424</v>
      </c>
      <c r="H58" s="61">
        <v>372188768</v>
      </c>
      <c r="I58" s="61">
        <v>11257060</v>
      </c>
      <c r="J58" s="61">
        <v>26390180</v>
      </c>
      <c r="K58" s="61">
        <v>44737032</v>
      </c>
      <c r="L58" s="61">
        <v>63274840</v>
      </c>
      <c r="M58" s="61">
        <v>4868840</v>
      </c>
      <c r="N58" s="61">
        <v>14222140</v>
      </c>
      <c r="O58" s="61">
        <v>21344292</v>
      </c>
      <c r="P58" s="62">
        <v>49.388082610203199</v>
      </c>
      <c r="Q58" s="62">
        <v>53.433670598559701</v>
      </c>
      <c r="R58" s="63">
        <v>0.99876687100630102</v>
      </c>
      <c r="S58" s="35">
        <v>64.0535</v>
      </c>
      <c r="T58" s="35">
        <v>60.353299999999997</v>
      </c>
      <c r="U58" s="35">
        <v>2.9476399999999998</v>
      </c>
      <c r="V58" s="35">
        <v>0.90516099999999999</v>
      </c>
      <c r="W58" s="35">
        <v>59.619100000000003</v>
      </c>
      <c r="X58" s="36">
        <v>57.448700000000002</v>
      </c>
      <c r="Y58" s="34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3"/>
      <c r="AK58" s="63"/>
      <c r="AL58" s="63"/>
      <c r="AM58" s="35"/>
      <c r="AN58" s="35"/>
      <c r="AO58" s="35"/>
      <c r="AP58" s="35"/>
      <c r="AQ58" s="35"/>
      <c r="AR58" s="36"/>
      <c r="AS58" s="47"/>
      <c r="AT58" s="94"/>
      <c r="AU58" s="95"/>
      <c r="AV58" s="47"/>
      <c r="AW58" s="94"/>
      <c r="AX58" s="95"/>
      <c r="AY58" s="34">
        <f t="shared" si="4"/>
        <v>-1158601</v>
      </c>
      <c r="AZ58" s="61">
        <f t="shared" si="42"/>
        <v>-404675720</v>
      </c>
      <c r="BA58" s="61">
        <f t="shared" si="18"/>
        <v>-32471424</v>
      </c>
      <c r="BB58" s="61">
        <f t="shared" si="19"/>
        <v>-372188768</v>
      </c>
      <c r="BC58" s="61">
        <f t="shared" si="20"/>
        <v>-11257060</v>
      </c>
      <c r="BD58" s="61">
        <f t="shared" si="21"/>
        <v>-26390180</v>
      </c>
      <c r="BE58" s="61">
        <f t="shared" si="22"/>
        <v>-44737032</v>
      </c>
      <c r="BF58" s="61">
        <f t="shared" si="23"/>
        <v>-63274840</v>
      </c>
      <c r="BG58" s="61">
        <f t="shared" si="24"/>
        <v>-4868840</v>
      </c>
      <c r="BH58" s="61">
        <f t="shared" si="25"/>
        <v>-14222140</v>
      </c>
      <c r="BI58" s="61">
        <f t="shared" si="26"/>
        <v>-21344292</v>
      </c>
      <c r="BJ58" s="154">
        <f t="shared" si="27"/>
        <v>-49.388082610203199</v>
      </c>
      <c r="BK58" s="154">
        <f t="shared" si="28"/>
        <v>-53.433670598559701</v>
      </c>
      <c r="BL58" s="69">
        <f t="shared" si="43"/>
        <v>-0.99876687100630102</v>
      </c>
    </row>
    <row r="59" spans="1:64" ht="15.75" thickBot="1" x14ac:dyDescent="0.3">
      <c r="A59" s="242"/>
      <c r="B59" s="249"/>
      <c r="C59" s="28" t="s">
        <v>49</v>
      </c>
      <c r="D59" s="44"/>
      <c r="E59" s="37">
        <v>1158601</v>
      </c>
      <c r="F59" s="64">
        <v>460456536</v>
      </c>
      <c r="G59" s="64">
        <v>32471424</v>
      </c>
      <c r="H59" s="64">
        <v>427969584</v>
      </c>
      <c r="I59" s="64">
        <v>12684720</v>
      </c>
      <c r="J59" s="64">
        <v>30785584</v>
      </c>
      <c r="K59" s="64">
        <v>51956632</v>
      </c>
      <c r="L59" s="64">
        <v>73402984</v>
      </c>
      <c r="M59" s="64">
        <v>5453760</v>
      </c>
      <c r="N59" s="64">
        <v>16011600</v>
      </c>
      <c r="O59" s="64">
        <v>23689512</v>
      </c>
      <c r="P59" s="65">
        <v>52.382367600327001</v>
      </c>
      <c r="Q59" s="65">
        <v>56.227023418642801</v>
      </c>
      <c r="R59" s="66">
        <v>0.99906498123550902</v>
      </c>
      <c r="S59" s="22">
        <v>63.816400000000002</v>
      </c>
      <c r="T59" s="22">
        <v>62.430100000000003</v>
      </c>
      <c r="U59" s="22">
        <v>2.9320200000000001</v>
      </c>
      <c r="V59" s="22">
        <v>1.0669999999999999</v>
      </c>
      <c r="W59" s="22">
        <v>59.3705</v>
      </c>
      <c r="X59" s="38">
        <v>59.135100000000001</v>
      </c>
      <c r="Y59" s="37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6"/>
      <c r="AK59" s="66"/>
      <c r="AL59" s="66"/>
      <c r="AM59" s="22"/>
      <c r="AN59" s="22"/>
      <c r="AO59" s="22"/>
      <c r="AP59" s="22"/>
      <c r="AQ59" s="22"/>
      <c r="AR59" s="38"/>
      <c r="AS59" s="48"/>
      <c r="AT59" s="94"/>
      <c r="AU59" s="95"/>
      <c r="AV59" s="48"/>
      <c r="AW59" s="94"/>
      <c r="AX59" s="95"/>
      <c r="AY59" s="37">
        <f t="shared" si="4"/>
        <v>-1158601</v>
      </c>
      <c r="AZ59" s="64">
        <f t="shared" si="42"/>
        <v>-460456536</v>
      </c>
      <c r="BA59" s="64">
        <f t="shared" si="18"/>
        <v>-32471424</v>
      </c>
      <c r="BB59" s="64">
        <f t="shared" si="19"/>
        <v>-427969584</v>
      </c>
      <c r="BC59" s="64">
        <f t="shared" si="20"/>
        <v>-12684720</v>
      </c>
      <c r="BD59" s="64">
        <f t="shared" si="21"/>
        <v>-30785584</v>
      </c>
      <c r="BE59" s="64">
        <f t="shared" si="22"/>
        <v>-51956632</v>
      </c>
      <c r="BF59" s="64">
        <f t="shared" si="23"/>
        <v>-73402984</v>
      </c>
      <c r="BG59" s="64">
        <f t="shared" si="24"/>
        <v>-5453760</v>
      </c>
      <c r="BH59" s="64">
        <f t="shared" si="25"/>
        <v>-16011600</v>
      </c>
      <c r="BI59" s="64">
        <f t="shared" si="26"/>
        <v>-23689512</v>
      </c>
      <c r="BJ59" s="70">
        <f t="shared" si="27"/>
        <v>-52.382367600327001</v>
      </c>
      <c r="BK59" s="70">
        <f t="shared" si="28"/>
        <v>-56.227023418642801</v>
      </c>
      <c r="BL59" s="71">
        <f t="shared" si="43"/>
        <v>-0.99906498123550902</v>
      </c>
    </row>
    <row r="60" spans="1:64" x14ac:dyDescent="0.25">
      <c r="A60" s="242"/>
      <c r="B60" s="247" t="s">
        <v>1344</v>
      </c>
      <c r="C60" s="26" t="s">
        <v>45</v>
      </c>
      <c r="D60" s="43"/>
      <c r="E60" s="32">
        <v>1372731</v>
      </c>
      <c r="F60" s="58">
        <v>197783640</v>
      </c>
      <c r="G60" s="58">
        <v>29886888</v>
      </c>
      <c r="H60" s="58">
        <v>167881112</v>
      </c>
      <c r="I60" s="58">
        <v>5721320</v>
      </c>
      <c r="J60" s="58">
        <v>8511692</v>
      </c>
      <c r="K60" s="58">
        <v>15720476</v>
      </c>
      <c r="L60" s="58">
        <v>22644500</v>
      </c>
      <c r="M60" s="58">
        <v>3862344</v>
      </c>
      <c r="N60" s="58">
        <v>10534632</v>
      </c>
      <c r="O60" s="58">
        <v>16945592</v>
      </c>
      <c r="P60" s="59">
        <v>35.087662741245403</v>
      </c>
      <c r="Q60" s="59">
        <v>39.795781284012001</v>
      </c>
      <c r="R60" s="60">
        <v>0.99022694502562503</v>
      </c>
      <c r="S60" s="21">
        <v>70.662599999999998</v>
      </c>
      <c r="T60" s="21">
        <v>65.091300000000004</v>
      </c>
      <c r="U60" s="21">
        <v>3.0774499999999998</v>
      </c>
      <c r="V60" s="21">
        <v>1.1977800000000001</v>
      </c>
      <c r="W60" s="21">
        <v>65.673100000000005</v>
      </c>
      <c r="X60" s="33">
        <v>62.513500000000001</v>
      </c>
      <c r="Y60" s="32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60"/>
      <c r="AK60" s="60"/>
      <c r="AL60" s="60"/>
      <c r="AM60" s="21"/>
      <c r="AN60" s="21"/>
      <c r="AO60" s="21"/>
      <c r="AP60" s="21"/>
      <c r="AQ60" s="21"/>
      <c r="AR60" s="33"/>
      <c r="AS60" s="171" t="str">
        <f ca="1">bdRateHermiteNew(INDIRECT("F60:F64"), INDIRECT("P60:P64"), INDIRECT("Z60:Z64"), INDIRECT("AJ60:AJ64"))</f>
        <v>No Test</v>
      </c>
      <c r="AT60" s="172" t="str">
        <f ca="1">bdRateHermiteNew(INDIRECT("F60:F64"), INDIRECT("Q60:Q64"), INDIRECT("Z60:Z64"), INDIRECT("AK60:AK64"))</f>
        <v>No Test</v>
      </c>
      <c r="AU60" s="173" t="str">
        <f ca="1">bdRateHermiteNew(INDIRECT("F60:F64"), INDIRECT("R60:R64"), INDIRECT("Z60:Z64"), INDIRECT("AL60:AL64"))</f>
        <v>No Test</v>
      </c>
      <c r="AV60" s="171" t="str">
        <f ca="1">bdRateHermiteNew(INDIRECT("H60:H64"), INDIRECT("P60:P64"), INDIRECT("AB60:AB64"), INDIRECT("AJ60:AJ64"))</f>
        <v>No Test</v>
      </c>
      <c r="AW60" s="172" t="str">
        <f ca="1">bdRateHermiteNew(INDIRECT("H60:H64"), INDIRECT("Q60:Q64"), INDIRECT("AB60:AB64"), INDIRECT("AK60:AK64"))</f>
        <v>No Test</v>
      </c>
      <c r="AX60" s="173" t="str">
        <f ca="1">bdRateHermiteNew(INDIRECT("H60:H64"), INDIRECT("R60:R64"), INDIRECT("AB60:AB64"), INDIRECT("AL60:AL64"))</f>
        <v>No Test</v>
      </c>
      <c r="AY60" s="32">
        <f t="shared" si="4"/>
        <v>-1372731</v>
      </c>
      <c r="AZ60" s="58">
        <f t="shared" si="42"/>
        <v>-197783640</v>
      </c>
      <c r="BA60" s="58">
        <f t="shared" si="18"/>
        <v>-29886888</v>
      </c>
      <c r="BB60" s="58">
        <f t="shared" si="19"/>
        <v>-167881112</v>
      </c>
      <c r="BC60" s="58">
        <f t="shared" si="20"/>
        <v>-5721320</v>
      </c>
      <c r="BD60" s="58">
        <f t="shared" si="21"/>
        <v>-8511692</v>
      </c>
      <c r="BE60" s="58">
        <f t="shared" si="22"/>
        <v>-15720476</v>
      </c>
      <c r="BF60" s="58">
        <f t="shared" si="23"/>
        <v>-22644500</v>
      </c>
      <c r="BG60" s="58">
        <f t="shared" si="24"/>
        <v>-3862344</v>
      </c>
      <c r="BH60" s="58">
        <f t="shared" si="25"/>
        <v>-10534632</v>
      </c>
      <c r="BI60" s="58">
        <f t="shared" si="26"/>
        <v>-16945592</v>
      </c>
      <c r="BJ60" s="67">
        <f t="shared" si="27"/>
        <v>-35.087662741245403</v>
      </c>
      <c r="BK60" s="67">
        <f t="shared" si="28"/>
        <v>-39.795781284012001</v>
      </c>
      <c r="BL60" s="68">
        <f>AL60-R60</f>
        <v>-0.99022694502562503</v>
      </c>
    </row>
    <row r="61" spans="1:64" x14ac:dyDescent="0.25">
      <c r="A61" s="242"/>
      <c r="B61" s="248"/>
      <c r="C61" s="27" t="s">
        <v>46</v>
      </c>
      <c r="D61" s="183"/>
      <c r="E61" s="34">
        <v>1372731</v>
      </c>
      <c r="F61" s="61">
        <v>267915984</v>
      </c>
      <c r="G61" s="61">
        <v>29886888</v>
      </c>
      <c r="H61" s="61">
        <v>238013456</v>
      </c>
      <c r="I61" s="61">
        <v>7996956</v>
      </c>
      <c r="J61" s="61">
        <v>14000272</v>
      </c>
      <c r="K61" s="61">
        <v>25107940</v>
      </c>
      <c r="L61" s="61">
        <v>35935892</v>
      </c>
      <c r="M61" s="61">
        <v>4437404</v>
      </c>
      <c r="N61" s="61">
        <v>12300688</v>
      </c>
      <c r="O61" s="61">
        <v>19227576</v>
      </c>
      <c r="P61" s="62">
        <v>40.714314719765397</v>
      </c>
      <c r="Q61" s="62">
        <v>45.360773063710603</v>
      </c>
      <c r="R61" s="63">
        <v>0.99625816667762501</v>
      </c>
      <c r="S61" s="35">
        <v>67.031000000000006</v>
      </c>
      <c r="T61" s="35">
        <v>66.365799999999993</v>
      </c>
      <c r="U61" s="35">
        <v>2.94109</v>
      </c>
      <c r="V61" s="35">
        <v>1.17334</v>
      </c>
      <c r="W61" s="35">
        <v>61.790999999999997</v>
      </c>
      <c r="X61" s="36">
        <v>63.561199999999999</v>
      </c>
      <c r="Y61" s="34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3"/>
      <c r="AK61" s="63"/>
      <c r="AL61" s="63"/>
      <c r="AM61" s="35"/>
      <c r="AN61" s="35"/>
      <c r="AO61" s="35"/>
      <c r="AP61" s="35"/>
      <c r="AQ61" s="35"/>
      <c r="AR61" s="36"/>
      <c r="AS61" s="47"/>
      <c r="AT61" s="94"/>
      <c r="AU61" s="95"/>
      <c r="AV61" s="47"/>
      <c r="AW61" s="94"/>
      <c r="AX61" s="95"/>
      <c r="AY61" s="34">
        <f t="shared" si="4"/>
        <v>-1372731</v>
      </c>
      <c r="AZ61" s="61">
        <f t="shared" si="42"/>
        <v>-267915984</v>
      </c>
      <c r="BA61" s="61">
        <f t="shared" si="18"/>
        <v>-29886888</v>
      </c>
      <c r="BB61" s="61">
        <f t="shared" si="19"/>
        <v>-238013456</v>
      </c>
      <c r="BC61" s="61">
        <f t="shared" si="20"/>
        <v>-7996956</v>
      </c>
      <c r="BD61" s="61">
        <f t="shared" si="21"/>
        <v>-14000272</v>
      </c>
      <c r="BE61" s="61">
        <f t="shared" si="22"/>
        <v>-25107940</v>
      </c>
      <c r="BF61" s="61">
        <f t="shared" si="23"/>
        <v>-35935892</v>
      </c>
      <c r="BG61" s="61">
        <f t="shared" si="24"/>
        <v>-4437404</v>
      </c>
      <c r="BH61" s="61">
        <f t="shared" si="25"/>
        <v>-12300688</v>
      </c>
      <c r="BI61" s="61">
        <f t="shared" si="26"/>
        <v>-19227576</v>
      </c>
      <c r="BJ61" s="154">
        <f t="shared" si="27"/>
        <v>-40.714314719765397</v>
      </c>
      <c r="BK61" s="154">
        <f t="shared" si="28"/>
        <v>-45.360773063710603</v>
      </c>
      <c r="BL61" s="69">
        <f t="shared" ref="BL61:BL64" si="44">AL61-R61</f>
        <v>-0.99625816667762501</v>
      </c>
    </row>
    <row r="62" spans="1:64" x14ac:dyDescent="0.25">
      <c r="A62" s="242"/>
      <c r="B62" s="248"/>
      <c r="C62" s="27" t="s">
        <v>47</v>
      </c>
      <c r="D62" s="183"/>
      <c r="E62" s="34">
        <v>1372731</v>
      </c>
      <c r="F62" s="61">
        <v>352032952</v>
      </c>
      <c r="G62" s="61">
        <v>29886888</v>
      </c>
      <c r="H62" s="61">
        <v>322130424</v>
      </c>
      <c r="I62" s="61">
        <v>10191884</v>
      </c>
      <c r="J62" s="61">
        <v>20770392</v>
      </c>
      <c r="K62" s="61">
        <v>36903000</v>
      </c>
      <c r="L62" s="61">
        <v>52378532</v>
      </c>
      <c r="M62" s="61">
        <v>5027516</v>
      </c>
      <c r="N62" s="61">
        <v>13997384</v>
      </c>
      <c r="O62" s="61">
        <v>21796504</v>
      </c>
      <c r="P62" s="62">
        <v>45.281480689806003</v>
      </c>
      <c r="Q62" s="62">
        <v>49.805675460621899</v>
      </c>
      <c r="R62" s="63">
        <v>0.99791104270778497</v>
      </c>
      <c r="S62" s="35">
        <v>72.975499999999997</v>
      </c>
      <c r="T62" s="35">
        <v>68.217500000000001</v>
      </c>
      <c r="U62" s="35">
        <v>3.0120300000000002</v>
      </c>
      <c r="V62" s="35">
        <v>1.17001</v>
      </c>
      <c r="W62" s="35">
        <v>68.001599999999996</v>
      </c>
      <c r="X62" s="36">
        <v>65.153400000000005</v>
      </c>
      <c r="Y62" s="34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3"/>
      <c r="AK62" s="63"/>
      <c r="AL62" s="63"/>
      <c r="AM62" s="35"/>
      <c r="AN62" s="35"/>
      <c r="AO62" s="35"/>
      <c r="AP62" s="35"/>
      <c r="AQ62" s="35"/>
      <c r="AR62" s="36"/>
      <c r="AS62" s="47"/>
      <c r="AT62" s="94"/>
      <c r="AU62" s="95"/>
      <c r="AV62" s="47"/>
      <c r="AW62" s="94"/>
      <c r="AX62" s="95"/>
      <c r="AY62" s="34">
        <f t="shared" si="4"/>
        <v>-1372731</v>
      </c>
      <c r="AZ62" s="61">
        <f t="shared" si="42"/>
        <v>-352032952</v>
      </c>
      <c r="BA62" s="61">
        <f t="shared" si="18"/>
        <v>-29886888</v>
      </c>
      <c r="BB62" s="61">
        <f t="shared" si="19"/>
        <v>-322130424</v>
      </c>
      <c r="BC62" s="61">
        <f t="shared" si="20"/>
        <v>-10191884</v>
      </c>
      <c r="BD62" s="61">
        <f t="shared" si="21"/>
        <v>-20770392</v>
      </c>
      <c r="BE62" s="61">
        <f t="shared" si="22"/>
        <v>-36903000</v>
      </c>
      <c r="BF62" s="61">
        <f t="shared" si="23"/>
        <v>-52378532</v>
      </c>
      <c r="BG62" s="61">
        <f t="shared" si="24"/>
        <v>-5027516</v>
      </c>
      <c r="BH62" s="61">
        <f t="shared" si="25"/>
        <v>-13997384</v>
      </c>
      <c r="BI62" s="61">
        <f t="shared" si="26"/>
        <v>-21796504</v>
      </c>
      <c r="BJ62" s="154">
        <f t="shared" si="27"/>
        <v>-45.281480689806003</v>
      </c>
      <c r="BK62" s="154">
        <f t="shared" si="28"/>
        <v>-49.805675460621899</v>
      </c>
      <c r="BL62" s="69">
        <f t="shared" si="44"/>
        <v>-0.99791104270778497</v>
      </c>
    </row>
    <row r="63" spans="1:64" x14ac:dyDescent="0.25">
      <c r="A63" s="242"/>
      <c r="B63" s="248"/>
      <c r="C63" s="27" t="s">
        <v>48</v>
      </c>
      <c r="D63" s="183"/>
      <c r="E63" s="34">
        <v>1372731</v>
      </c>
      <c r="F63" s="61">
        <v>443302120</v>
      </c>
      <c r="G63" s="61">
        <v>29886888</v>
      </c>
      <c r="H63" s="61">
        <v>413399704</v>
      </c>
      <c r="I63" s="61">
        <v>12202888</v>
      </c>
      <c r="J63" s="61">
        <v>28254472</v>
      </c>
      <c r="K63" s="61">
        <v>49721756</v>
      </c>
      <c r="L63" s="61">
        <v>70476520</v>
      </c>
      <c r="M63" s="61">
        <v>5680640</v>
      </c>
      <c r="N63" s="61">
        <v>15830700</v>
      </c>
      <c r="O63" s="61">
        <v>24532876</v>
      </c>
      <c r="P63" s="62">
        <v>47.952885208808503</v>
      </c>
      <c r="Q63" s="62">
        <v>52.321688650937901</v>
      </c>
      <c r="R63" s="63">
        <v>0.99835134746071397</v>
      </c>
      <c r="S63" s="35">
        <v>75.7376</v>
      </c>
      <c r="T63" s="35">
        <v>70.625200000000007</v>
      </c>
      <c r="U63" s="35">
        <v>3.0432899999999998</v>
      </c>
      <c r="V63" s="35">
        <v>1.1732100000000001</v>
      </c>
      <c r="W63" s="35">
        <v>70.573700000000002</v>
      </c>
      <c r="X63" s="36">
        <v>67.214500000000001</v>
      </c>
      <c r="Y63" s="34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3"/>
      <c r="AK63" s="63"/>
      <c r="AL63" s="63"/>
      <c r="AM63" s="35"/>
      <c r="AN63" s="35"/>
      <c r="AO63" s="35"/>
      <c r="AP63" s="35"/>
      <c r="AQ63" s="35"/>
      <c r="AR63" s="36"/>
      <c r="AS63" s="47"/>
      <c r="AT63" s="94"/>
      <c r="AU63" s="95"/>
      <c r="AV63" s="47"/>
      <c r="AW63" s="94"/>
      <c r="AX63" s="95"/>
      <c r="AY63" s="34">
        <f t="shared" si="4"/>
        <v>-1372731</v>
      </c>
      <c r="AZ63" s="61">
        <f t="shared" si="42"/>
        <v>-443302120</v>
      </c>
      <c r="BA63" s="61">
        <f t="shared" si="18"/>
        <v>-29886888</v>
      </c>
      <c r="BB63" s="61">
        <f t="shared" si="19"/>
        <v>-413399704</v>
      </c>
      <c r="BC63" s="61">
        <f t="shared" si="20"/>
        <v>-12202888</v>
      </c>
      <c r="BD63" s="61">
        <f t="shared" si="21"/>
        <v>-28254472</v>
      </c>
      <c r="BE63" s="61">
        <f t="shared" si="22"/>
        <v>-49721756</v>
      </c>
      <c r="BF63" s="61">
        <f t="shared" si="23"/>
        <v>-70476520</v>
      </c>
      <c r="BG63" s="61">
        <f t="shared" si="24"/>
        <v>-5680640</v>
      </c>
      <c r="BH63" s="61">
        <f t="shared" si="25"/>
        <v>-15830700</v>
      </c>
      <c r="BI63" s="61">
        <f t="shared" si="26"/>
        <v>-24532876</v>
      </c>
      <c r="BJ63" s="154">
        <f t="shared" si="27"/>
        <v>-47.952885208808503</v>
      </c>
      <c r="BK63" s="154">
        <f t="shared" si="28"/>
        <v>-52.321688650937901</v>
      </c>
      <c r="BL63" s="69">
        <f t="shared" si="44"/>
        <v>-0.99835134746071397</v>
      </c>
    </row>
    <row r="64" spans="1:64" ht="15.75" thickBot="1" x14ac:dyDescent="0.3">
      <c r="A64" s="242"/>
      <c r="B64" s="249"/>
      <c r="C64" s="28" t="s">
        <v>49</v>
      </c>
      <c r="D64" s="44"/>
      <c r="E64" s="37">
        <v>1372731</v>
      </c>
      <c r="F64" s="64">
        <v>518890272</v>
      </c>
      <c r="G64" s="64">
        <v>29886888</v>
      </c>
      <c r="H64" s="64">
        <v>488987856</v>
      </c>
      <c r="I64" s="64">
        <v>14064392</v>
      </c>
      <c r="J64" s="64">
        <v>34569192</v>
      </c>
      <c r="K64" s="64">
        <v>59658236</v>
      </c>
      <c r="L64" s="64">
        <v>84640392</v>
      </c>
      <c r="M64" s="64">
        <v>6379364</v>
      </c>
      <c r="N64" s="64">
        <v>17847876</v>
      </c>
      <c r="O64" s="64">
        <v>27334476</v>
      </c>
      <c r="P64" s="65">
        <v>49.058703261736298</v>
      </c>
      <c r="Q64" s="65">
        <v>53.350813512998798</v>
      </c>
      <c r="R64" s="66">
        <v>0.99853287588908901</v>
      </c>
      <c r="S64" s="22">
        <v>75.384799999999998</v>
      </c>
      <c r="T64" s="22">
        <v>74.049199999999999</v>
      </c>
      <c r="U64" s="22">
        <v>3.028</v>
      </c>
      <c r="V64" s="22">
        <v>1.17822</v>
      </c>
      <c r="W64" s="22">
        <v>70.252700000000004</v>
      </c>
      <c r="X64" s="38">
        <v>70.345399999999998</v>
      </c>
      <c r="Y64" s="37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6"/>
      <c r="AK64" s="66"/>
      <c r="AL64" s="66"/>
      <c r="AM64" s="22"/>
      <c r="AN64" s="22"/>
      <c r="AO64" s="22"/>
      <c r="AP64" s="22"/>
      <c r="AQ64" s="22"/>
      <c r="AR64" s="38"/>
      <c r="AS64" s="48"/>
      <c r="AT64" s="94"/>
      <c r="AU64" s="95"/>
      <c r="AV64" s="48"/>
      <c r="AW64" s="94"/>
      <c r="AX64" s="95"/>
      <c r="AY64" s="37">
        <f t="shared" si="4"/>
        <v>-1372731</v>
      </c>
      <c r="AZ64" s="64">
        <f t="shared" si="42"/>
        <v>-518890272</v>
      </c>
      <c r="BA64" s="64">
        <f t="shared" si="18"/>
        <v>-29886888</v>
      </c>
      <c r="BB64" s="64">
        <f t="shared" si="19"/>
        <v>-488987856</v>
      </c>
      <c r="BC64" s="64">
        <f t="shared" si="20"/>
        <v>-14064392</v>
      </c>
      <c r="BD64" s="64">
        <f t="shared" si="21"/>
        <v>-34569192</v>
      </c>
      <c r="BE64" s="64">
        <f t="shared" si="22"/>
        <v>-59658236</v>
      </c>
      <c r="BF64" s="64">
        <f t="shared" si="23"/>
        <v>-84640392</v>
      </c>
      <c r="BG64" s="64">
        <f t="shared" si="24"/>
        <v>-6379364</v>
      </c>
      <c r="BH64" s="64">
        <f t="shared" si="25"/>
        <v>-17847876</v>
      </c>
      <c r="BI64" s="64">
        <f t="shared" si="26"/>
        <v>-27334476</v>
      </c>
      <c r="BJ64" s="70">
        <f t="shared" si="27"/>
        <v>-49.058703261736298</v>
      </c>
      <c r="BK64" s="70">
        <f t="shared" si="28"/>
        <v>-53.350813512998798</v>
      </c>
      <c r="BL64" s="71">
        <f t="shared" si="44"/>
        <v>-0.99853287588908901</v>
      </c>
    </row>
    <row r="65" spans="1:64" x14ac:dyDescent="0.25">
      <c r="A65" s="242"/>
      <c r="B65" s="247" t="s">
        <v>1345</v>
      </c>
      <c r="C65" s="26" t="s">
        <v>45</v>
      </c>
      <c r="D65" s="43"/>
      <c r="E65" s="32">
        <v>1470748</v>
      </c>
      <c r="F65" s="58">
        <v>253555720</v>
      </c>
      <c r="G65" s="58">
        <v>43053896</v>
      </c>
      <c r="H65" s="58">
        <v>210486184</v>
      </c>
      <c r="I65" s="58">
        <v>8271440</v>
      </c>
      <c r="J65" s="58">
        <v>11954312</v>
      </c>
      <c r="K65" s="58">
        <v>20231096</v>
      </c>
      <c r="L65" s="58">
        <v>28760116</v>
      </c>
      <c r="M65" s="58">
        <v>3979212</v>
      </c>
      <c r="N65" s="58">
        <v>12671924</v>
      </c>
      <c r="O65" s="58">
        <v>19374992</v>
      </c>
      <c r="P65" s="59">
        <v>32.965905474605002</v>
      </c>
      <c r="Q65" s="59">
        <v>37.405675344147099</v>
      </c>
      <c r="R65" s="60">
        <v>0.98607602488912904</v>
      </c>
      <c r="S65" s="21">
        <v>77.8489</v>
      </c>
      <c r="T65" s="21">
        <v>71.360500000000002</v>
      </c>
      <c r="U65" s="21">
        <v>4.0149100000000004</v>
      </c>
      <c r="V65" s="21">
        <v>1.1063499999999999</v>
      </c>
      <c r="W65" s="21">
        <v>71.9328</v>
      </c>
      <c r="X65" s="33">
        <v>68.644999999999996</v>
      </c>
      <c r="Y65" s="32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60"/>
      <c r="AK65" s="60"/>
      <c r="AL65" s="60"/>
      <c r="AM65" s="21"/>
      <c r="AN65" s="21"/>
      <c r="AO65" s="21"/>
      <c r="AP65" s="21"/>
      <c r="AQ65" s="21"/>
      <c r="AR65" s="33"/>
      <c r="AS65" s="171" t="str">
        <f ca="1">bdRateHermiteNew(INDIRECT("F65:F69"), INDIRECT("P65:P69"), INDIRECT("Z65:Z69"), INDIRECT("AJ65:AJ69"))</f>
        <v>No Test</v>
      </c>
      <c r="AT65" s="172" t="str">
        <f ca="1">bdRateHermiteNew(INDIRECT("F65:F69"), INDIRECT("Q65:Q69"), INDIRECT("Z65:Z69"), INDIRECT("AK65:AK69"))</f>
        <v>No Test</v>
      </c>
      <c r="AU65" s="173" t="str">
        <f ca="1">bdRateHermiteNew(INDIRECT("F65:F69"), INDIRECT("R65:R69"), INDIRECT("Z65:Z69"), INDIRECT("AL65:AL69"))</f>
        <v>No Test</v>
      </c>
      <c r="AV65" s="171" t="str">
        <f ca="1">bdRateHermiteNew(INDIRECT("H65:H69"), INDIRECT("P65:P69"), INDIRECT("AB65:AB69"), INDIRECT("AJ65:AJ69"))</f>
        <v>No Test</v>
      </c>
      <c r="AW65" s="172" t="str">
        <f ca="1">bdRateHermiteNew(INDIRECT("H65:H69"), INDIRECT("Q65:Q69"), INDIRECT("AB65:AB69"), INDIRECT("AK65:AK69"))</f>
        <v>No Test</v>
      </c>
      <c r="AX65" s="173" t="str">
        <f ca="1">bdRateHermiteNew(INDIRECT("H65:H69"), INDIRECT("R65:R69"), INDIRECT("AB65:AB69"), INDIRECT("AL65:AL69"))</f>
        <v>No Test</v>
      </c>
      <c r="AY65" s="32">
        <f t="shared" si="4"/>
        <v>-1470748</v>
      </c>
      <c r="AZ65" s="58">
        <f t="shared" si="42"/>
        <v>-253555720</v>
      </c>
      <c r="BA65" s="58">
        <f t="shared" si="18"/>
        <v>-43053896</v>
      </c>
      <c r="BB65" s="58">
        <f t="shared" si="19"/>
        <v>-210486184</v>
      </c>
      <c r="BC65" s="58">
        <f t="shared" si="20"/>
        <v>-8271440</v>
      </c>
      <c r="BD65" s="58">
        <f t="shared" si="21"/>
        <v>-11954312</v>
      </c>
      <c r="BE65" s="58">
        <f t="shared" si="22"/>
        <v>-20231096</v>
      </c>
      <c r="BF65" s="58">
        <f t="shared" si="23"/>
        <v>-28760116</v>
      </c>
      <c r="BG65" s="58">
        <f t="shared" si="24"/>
        <v>-3979212</v>
      </c>
      <c r="BH65" s="58">
        <f t="shared" si="25"/>
        <v>-12671924</v>
      </c>
      <c r="BI65" s="58">
        <f t="shared" si="26"/>
        <v>-19374992</v>
      </c>
      <c r="BJ65" s="67">
        <f t="shared" si="27"/>
        <v>-32.965905474605002</v>
      </c>
      <c r="BK65" s="67">
        <f t="shared" si="28"/>
        <v>-37.405675344147099</v>
      </c>
      <c r="BL65" s="68">
        <f>AL65-R65</f>
        <v>-0.98607602488912904</v>
      </c>
    </row>
    <row r="66" spans="1:64" x14ac:dyDescent="0.25">
      <c r="A66" s="242"/>
      <c r="B66" s="248"/>
      <c r="C66" s="27" t="s">
        <v>46</v>
      </c>
      <c r="D66" s="183"/>
      <c r="E66" s="34">
        <v>1470748</v>
      </c>
      <c r="F66" s="61">
        <v>332762952</v>
      </c>
      <c r="G66" s="61">
        <v>43053896</v>
      </c>
      <c r="H66" s="61">
        <v>289693416</v>
      </c>
      <c r="I66" s="61">
        <v>10650940</v>
      </c>
      <c r="J66" s="61">
        <v>18325484</v>
      </c>
      <c r="K66" s="61">
        <v>30993836</v>
      </c>
      <c r="L66" s="61">
        <v>43996376</v>
      </c>
      <c r="M66" s="61">
        <v>4703200</v>
      </c>
      <c r="N66" s="61">
        <v>14136388</v>
      </c>
      <c r="O66" s="61">
        <v>22040484</v>
      </c>
      <c r="P66" s="62">
        <v>38.8628602115108</v>
      </c>
      <c r="Q66" s="62">
        <v>43.337557397517799</v>
      </c>
      <c r="R66" s="63">
        <v>0.99550456259738795</v>
      </c>
      <c r="S66" s="35">
        <v>79.346000000000004</v>
      </c>
      <c r="T66" s="35">
        <v>72.794200000000004</v>
      </c>
      <c r="U66" s="35">
        <v>4.2513199999999998</v>
      </c>
      <c r="V66" s="35">
        <v>1.10348</v>
      </c>
      <c r="W66" s="35">
        <v>72.896199999999993</v>
      </c>
      <c r="X66" s="36">
        <v>69.808099999999996</v>
      </c>
      <c r="Y66" s="34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3"/>
      <c r="AK66" s="63"/>
      <c r="AL66" s="63"/>
      <c r="AM66" s="35"/>
      <c r="AN66" s="35"/>
      <c r="AO66" s="35"/>
      <c r="AP66" s="35"/>
      <c r="AQ66" s="35"/>
      <c r="AR66" s="36"/>
      <c r="AS66" s="47"/>
      <c r="AT66" s="94"/>
      <c r="AU66" s="95"/>
      <c r="AV66" s="47"/>
      <c r="AW66" s="94"/>
      <c r="AX66" s="95"/>
      <c r="AY66" s="34">
        <f t="shared" si="4"/>
        <v>-1470748</v>
      </c>
      <c r="AZ66" s="61">
        <f t="shared" si="42"/>
        <v>-332762952</v>
      </c>
      <c r="BA66" s="61">
        <f t="shared" si="18"/>
        <v>-43053896</v>
      </c>
      <c r="BB66" s="61">
        <f t="shared" si="19"/>
        <v>-289693416</v>
      </c>
      <c r="BC66" s="61">
        <f t="shared" si="20"/>
        <v>-10650940</v>
      </c>
      <c r="BD66" s="61">
        <f t="shared" si="21"/>
        <v>-18325484</v>
      </c>
      <c r="BE66" s="61">
        <f t="shared" si="22"/>
        <v>-30993836</v>
      </c>
      <c r="BF66" s="61">
        <f t="shared" si="23"/>
        <v>-43996376</v>
      </c>
      <c r="BG66" s="61">
        <f t="shared" si="24"/>
        <v>-4703200</v>
      </c>
      <c r="BH66" s="61">
        <f t="shared" si="25"/>
        <v>-14136388</v>
      </c>
      <c r="BI66" s="61">
        <f t="shared" si="26"/>
        <v>-22040484</v>
      </c>
      <c r="BJ66" s="154">
        <f t="shared" si="27"/>
        <v>-38.8628602115108</v>
      </c>
      <c r="BK66" s="154">
        <f t="shared" si="28"/>
        <v>-43.337557397517799</v>
      </c>
      <c r="BL66" s="69">
        <f t="shared" ref="BL66:BL69" si="45">AL66-R66</f>
        <v>-0.99550456259738795</v>
      </c>
    </row>
    <row r="67" spans="1:64" x14ac:dyDescent="0.25">
      <c r="A67" s="242"/>
      <c r="B67" s="248"/>
      <c r="C67" s="27" t="s">
        <v>47</v>
      </c>
      <c r="D67" s="183"/>
      <c r="E67" s="34">
        <v>1470748</v>
      </c>
      <c r="F67" s="61">
        <v>435957240</v>
      </c>
      <c r="G67" s="61">
        <v>43053896</v>
      </c>
      <c r="H67" s="61">
        <v>392887704</v>
      </c>
      <c r="I67" s="61">
        <v>12859408</v>
      </c>
      <c r="J67" s="61">
        <v>27207064</v>
      </c>
      <c r="K67" s="61">
        <v>45610892</v>
      </c>
      <c r="L67" s="61">
        <v>64381668</v>
      </c>
      <c r="M67" s="61">
        <v>5343496</v>
      </c>
      <c r="N67" s="61">
        <v>16121328</v>
      </c>
      <c r="O67" s="61">
        <v>24919996</v>
      </c>
      <c r="P67" s="62">
        <v>44.538789319769101</v>
      </c>
      <c r="Q67" s="62">
        <v>48.8442371625435</v>
      </c>
      <c r="R67" s="63">
        <v>0.99810826964174004</v>
      </c>
      <c r="S67" s="35">
        <v>81.692899999999995</v>
      </c>
      <c r="T67" s="35">
        <v>76.316000000000003</v>
      </c>
      <c r="U67" s="35">
        <v>4.0332400000000002</v>
      </c>
      <c r="V67" s="35">
        <v>1.1019099999999999</v>
      </c>
      <c r="W67" s="35">
        <v>75.753</v>
      </c>
      <c r="X67" s="36">
        <v>72.951999999999998</v>
      </c>
      <c r="Y67" s="34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3"/>
      <c r="AK67" s="63"/>
      <c r="AL67" s="63"/>
      <c r="AM67" s="35"/>
      <c r="AN67" s="35"/>
      <c r="AO67" s="35"/>
      <c r="AP67" s="35"/>
      <c r="AQ67" s="35"/>
      <c r="AR67" s="36"/>
      <c r="AS67" s="47"/>
      <c r="AT67" s="94"/>
      <c r="AU67" s="95"/>
      <c r="AV67" s="47"/>
      <c r="AW67" s="94"/>
      <c r="AX67" s="95"/>
      <c r="AY67" s="34">
        <f t="shared" si="4"/>
        <v>-1470748</v>
      </c>
      <c r="AZ67" s="61">
        <f t="shared" si="42"/>
        <v>-435957240</v>
      </c>
      <c r="BA67" s="61">
        <f t="shared" si="18"/>
        <v>-43053896</v>
      </c>
      <c r="BB67" s="61">
        <f t="shared" si="19"/>
        <v>-392887704</v>
      </c>
      <c r="BC67" s="61">
        <f t="shared" si="20"/>
        <v>-12859408</v>
      </c>
      <c r="BD67" s="61">
        <f t="shared" si="21"/>
        <v>-27207064</v>
      </c>
      <c r="BE67" s="61">
        <f t="shared" si="22"/>
        <v>-45610892</v>
      </c>
      <c r="BF67" s="61">
        <f t="shared" si="23"/>
        <v>-64381668</v>
      </c>
      <c r="BG67" s="61">
        <f t="shared" si="24"/>
        <v>-5343496</v>
      </c>
      <c r="BH67" s="61">
        <f t="shared" si="25"/>
        <v>-16121328</v>
      </c>
      <c r="BI67" s="61">
        <f t="shared" si="26"/>
        <v>-24919996</v>
      </c>
      <c r="BJ67" s="154">
        <f t="shared" si="27"/>
        <v>-44.538789319769101</v>
      </c>
      <c r="BK67" s="154">
        <f t="shared" si="28"/>
        <v>-48.8442371625435</v>
      </c>
      <c r="BL67" s="69">
        <f t="shared" si="45"/>
        <v>-0.99810826964174004</v>
      </c>
    </row>
    <row r="68" spans="1:64" x14ac:dyDescent="0.25">
      <c r="A68" s="242"/>
      <c r="B68" s="248"/>
      <c r="C68" s="27" t="s">
        <v>48</v>
      </c>
      <c r="D68" s="183"/>
      <c r="E68" s="34">
        <v>1470748</v>
      </c>
      <c r="F68" s="61">
        <v>533525736</v>
      </c>
      <c r="G68" s="61">
        <v>43053896</v>
      </c>
      <c r="H68" s="61">
        <v>490456312</v>
      </c>
      <c r="I68" s="61">
        <v>14791408</v>
      </c>
      <c r="J68" s="61">
        <v>35567648</v>
      </c>
      <c r="K68" s="61">
        <v>59292664</v>
      </c>
      <c r="L68" s="61">
        <v>83304940</v>
      </c>
      <c r="M68" s="61">
        <v>6016476</v>
      </c>
      <c r="N68" s="61">
        <v>18254008</v>
      </c>
      <c r="O68" s="61">
        <v>28001012</v>
      </c>
      <c r="P68" s="62">
        <v>49.271082247367602</v>
      </c>
      <c r="Q68" s="62">
        <v>53.385573322439903</v>
      </c>
      <c r="R68" s="63">
        <v>0.99887250342170297</v>
      </c>
      <c r="S68" s="35">
        <v>77.640100000000004</v>
      </c>
      <c r="T68" s="35">
        <v>78.781099999999995</v>
      </c>
      <c r="U68" s="35">
        <v>3.8145699999999998</v>
      </c>
      <c r="V68" s="35">
        <v>1.1096200000000001</v>
      </c>
      <c r="W68" s="35">
        <v>71.516999999999996</v>
      </c>
      <c r="X68" s="36">
        <v>75.082800000000006</v>
      </c>
      <c r="Y68" s="34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3"/>
      <c r="AK68" s="63"/>
      <c r="AL68" s="63"/>
      <c r="AM68" s="35"/>
      <c r="AN68" s="35"/>
      <c r="AO68" s="35"/>
      <c r="AP68" s="35"/>
      <c r="AQ68" s="35"/>
      <c r="AR68" s="36"/>
      <c r="AS68" s="47"/>
      <c r="AT68" s="94"/>
      <c r="AU68" s="95"/>
      <c r="AV68" s="47"/>
      <c r="AW68" s="94"/>
      <c r="AX68" s="95"/>
      <c r="AY68" s="34">
        <f t="shared" si="4"/>
        <v>-1470748</v>
      </c>
      <c r="AZ68" s="61">
        <f t="shared" si="42"/>
        <v>-533525736</v>
      </c>
      <c r="BA68" s="61">
        <f t="shared" si="18"/>
        <v>-43053896</v>
      </c>
      <c r="BB68" s="61">
        <f t="shared" si="19"/>
        <v>-490456312</v>
      </c>
      <c r="BC68" s="61">
        <f t="shared" si="20"/>
        <v>-14791408</v>
      </c>
      <c r="BD68" s="61">
        <f t="shared" si="21"/>
        <v>-35567648</v>
      </c>
      <c r="BE68" s="61">
        <f t="shared" si="22"/>
        <v>-59292664</v>
      </c>
      <c r="BF68" s="61">
        <f t="shared" si="23"/>
        <v>-83304940</v>
      </c>
      <c r="BG68" s="61">
        <f t="shared" si="24"/>
        <v>-6016476</v>
      </c>
      <c r="BH68" s="61">
        <f t="shared" si="25"/>
        <v>-18254008</v>
      </c>
      <c r="BI68" s="61">
        <f t="shared" si="26"/>
        <v>-28001012</v>
      </c>
      <c r="BJ68" s="154">
        <f t="shared" si="27"/>
        <v>-49.271082247367602</v>
      </c>
      <c r="BK68" s="154">
        <f t="shared" si="28"/>
        <v>-53.385573322439903</v>
      </c>
      <c r="BL68" s="69">
        <f t="shared" si="45"/>
        <v>-0.99887250342170297</v>
      </c>
    </row>
    <row r="69" spans="1:64" ht="15.75" thickBot="1" x14ac:dyDescent="0.3">
      <c r="A69" s="243"/>
      <c r="B69" s="249"/>
      <c r="C69" s="28" t="s">
        <v>49</v>
      </c>
      <c r="D69" s="44"/>
      <c r="E69" s="37">
        <v>1470748</v>
      </c>
      <c r="F69" s="64">
        <v>598259168</v>
      </c>
      <c r="G69" s="64">
        <v>43053896</v>
      </c>
      <c r="H69" s="64">
        <v>555189744</v>
      </c>
      <c r="I69" s="64">
        <v>16664076</v>
      </c>
      <c r="J69" s="64">
        <v>40370224</v>
      </c>
      <c r="K69" s="64">
        <v>67495736</v>
      </c>
      <c r="L69" s="64">
        <v>94820016</v>
      </c>
      <c r="M69" s="64">
        <v>6749164</v>
      </c>
      <c r="N69" s="64">
        <v>20555032</v>
      </c>
      <c r="O69" s="64">
        <v>30940624</v>
      </c>
      <c r="P69" s="65">
        <v>52.636167921553501</v>
      </c>
      <c r="Q69" s="65">
        <v>56.530448996134702</v>
      </c>
      <c r="R69" s="66">
        <v>0.99910794004868497</v>
      </c>
      <c r="S69" s="22">
        <v>85.451899999999995</v>
      </c>
      <c r="T69" s="22">
        <v>78.652299999999997</v>
      </c>
      <c r="U69" s="22">
        <v>3.9798499999999999</v>
      </c>
      <c r="V69" s="22">
        <v>1.1219600000000001</v>
      </c>
      <c r="W69" s="22">
        <v>79.076800000000006</v>
      </c>
      <c r="X69" s="38">
        <v>74.763499999999993</v>
      </c>
      <c r="Y69" s="37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6"/>
      <c r="AK69" s="66"/>
      <c r="AL69" s="66"/>
      <c r="AM69" s="22"/>
      <c r="AN69" s="22"/>
      <c r="AO69" s="22"/>
      <c r="AP69" s="22"/>
      <c r="AQ69" s="22"/>
      <c r="AR69" s="38"/>
      <c r="AS69" s="48"/>
      <c r="AT69" s="94"/>
      <c r="AU69" s="95"/>
      <c r="AV69" s="48"/>
      <c r="AW69" s="94"/>
      <c r="AX69" s="95"/>
      <c r="AY69" s="37">
        <f t="shared" si="4"/>
        <v>-1470748</v>
      </c>
      <c r="AZ69" s="64">
        <f t="shared" si="42"/>
        <v>-598259168</v>
      </c>
      <c r="BA69" s="64">
        <f t="shared" si="18"/>
        <v>-43053896</v>
      </c>
      <c r="BB69" s="64">
        <f t="shared" si="19"/>
        <v>-555189744</v>
      </c>
      <c r="BC69" s="64">
        <f t="shared" si="20"/>
        <v>-16664076</v>
      </c>
      <c r="BD69" s="64">
        <f t="shared" si="21"/>
        <v>-40370224</v>
      </c>
      <c r="BE69" s="64">
        <f t="shared" si="22"/>
        <v>-67495736</v>
      </c>
      <c r="BF69" s="64">
        <f t="shared" si="23"/>
        <v>-94820016</v>
      </c>
      <c r="BG69" s="64">
        <f t="shared" si="24"/>
        <v>-6749164</v>
      </c>
      <c r="BH69" s="64">
        <f t="shared" si="25"/>
        <v>-20555032</v>
      </c>
      <c r="BI69" s="64">
        <f t="shared" si="26"/>
        <v>-30940624</v>
      </c>
      <c r="BJ69" s="70">
        <f t="shared" si="27"/>
        <v>-52.636167921553501</v>
      </c>
      <c r="BK69" s="70">
        <f t="shared" si="28"/>
        <v>-56.530448996134702</v>
      </c>
      <c r="BL69" s="71">
        <f t="shared" si="45"/>
        <v>-0.99910794004868497</v>
      </c>
    </row>
    <row r="70" spans="1:64" x14ac:dyDescent="0.25">
      <c r="A70" s="244" t="s">
        <v>1347</v>
      </c>
      <c r="B70" s="247" t="s">
        <v>1313</v>
      </c>
      <c r="C70" s="27" t="s">
        <v>45</v>
      </c>
      <c r="D70" s="43"/>
      <c r="E70" s="32">
        <v>3256974</v>
      </c>
      <c r="F70" s="58">
        <v>409752488</v>
      </c>
      <c r="G70" s="58">
        <v>67917928</v>
      </c>
      <c r="H70" s="58">
        <v>341807768</v>
      </c>
      <c r="I70" s="58">
        <v>5718506</v>
      </c>
      <c r="J70" s="58">
        <v>10102272</v>
      </c>
      <c r="K70" s="58">
        <v>15967674</v>
      </c>
      <c r="L70" s="58">
        <v>18959340</v>
      </c>
      <c r="M70" s="58">
        <v>4037960</v>
      </c>
      <c r="N70" s="58">
        <v>12635944</v>
      </c>
      <c r="O70" s="58">
        <v>18030246</v>
      </c>
      <c r="P70" s="59">
        <v>33.722869808989003</v>
      </c>
      <c r="Q70" s="59">
        <v>38.400471918704703</v>
      </c>
      <c r="R70" s="60">
        <v>0.98839103325838995</v>
      </c>
      <c r="S70" s="21">
        <v>142.57400000000001</v>
      </c>
      <c r="T70" s="21">
        <v>150.786</v>
      </c>
      <c r="U70" s="21">
        <v>6.4276099999999996</v>
      </c>
      <c r="V70" s="21">
        <v>2.85771</v>
      </c>
      <c r="W70" s="21">
        <v>131.39099999999999</v>
      </c>
      <c r="X70" s="33">
        <v>144.85900000000001</v>
      </c>
      <c r="Y70" s="32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60"/>
      <c r="AK70" s="60"/>
      <c r="AL70" s="60"/>
      <c r="AM70" s="21"/>
      <c r="AN70" s="21"/>
      <c r="AO70" s="21"/>
      <c r="AP70" s="21"/>
      <c r="AQ70" s="21"/>
      <c r="AR70" s="33"/>
      <c r="AS70" s="171" t="str">
        <f ca="1">bdRateHermiteNew(INDIRECT("F70:F74"), INDIRECT("P70:P74"), INDIRECT("Z70:Z74"), INDIRECT("AJ70:AJ74"))</f>
        <v>No Test</v>
      </c>
      <c r="AT70" s="172" t="str">
        <f ca="1">bdRateHermiteNew(INDIRECT("F70:F74"), INDIRECT("Q70:Q74"), INDIRECT("Z70:Z74"), INDIRECT("AK70:AK74"))</f>
        <v>No Test</v>
      </c>
      <c r="AU70" s="173" t="str">
        <f ca="1">bdRateHermiteNew(INDIRECT("F70:F74"), INDIRECT("R70:R74"), INDIRECT("Z70:Z74"), INDIRECT("AL70:AL74"))</f>
        <v>No Test</v>
      </c>
      <c r="AV70" s="171" t="str">
        <f ca="1">bdRateHermiteNew(INDIRECT("H70:H74"), INDIRECT("P70:P74"), INDIRECT("AB70:AB74"), INDIRECT("AJ70:AJ74"))</f>
        <v>No Test</v>
      </c>
      <c r="AW70" s="172" t="str">
        <f ca="1">bdRateHermiteNew(INDIRECT("H70:H74"), INDIRECT("Q70:Q74"), INDIRECT("AB70:AB74"), INDIRECT("AK70:AK74"))</f>
        <v>No Test</v>
      </c>
      <c r="AX70" s="173" t="str">
        <f ca="1">bdRateHermiteNew(INDIRECT("H70:H74"), INDIRECT("R70:R74"), INDIRECT("AB70:AB74"), INDIRECT("AL70:AL74"))</f>
        <v>No Test</v>
      </c>
      <c r="AY70" s="32">
        <f t="shared" ref="AY70:AY119" si="46">Y70-E70</f>
        <v>-3256974</v>
      </c>
      <c r="AZ70" s="58">
        <f>Z70-F70</f>
        <v>-409752488</v>
      </c>
      <c r="BA70" s="58">
        <f>AA70-G70</f>
        <v>-67917928</v>
      </c>
      <c r="BB70" s="58">
        <f t="shared" si="19"/>
        <v>-341807768</v>
      </c>
      <c r="BC70" s="58">
        <f t="shared" si="20"/>
        <v>-5718506</v>
      </c>
      <c r="BD70" s="58">
        <f t="shared" si="21"/>
        <v>-10102272</v>
      </c>
      <c r="BE70" s="58">
        <f t="shared" si="22"/>
        <v>-15967674</v>
      </c>
      <c r="BF70" s="58">
        <f t="shared" si="23"/>
        <v>-18959340</v>
      </c>
      <c r="BG70" s="58">
        <f t="shared" si="24"/>
        <v>-4037960</v>
      </c>
      <c r="BH70" s="58">
        <f t="shared" si="25"/>
        <v>-12635944</v>
      </c>
      <c r="BI70" s="58">
        <f t="shared" si="26"/>
        <v>-18030246</v>
      </c>
      <c r="BJ70" s="67">
        <f t="shared" si="27"/>
        <v>-33.722869808989003</v>
      </c>
      <c r="BK70" s="67">
        <f t="shared" si="28"/>
        <v>-38.400471918704703</v>
      </c>
      <c r="BL70" s="68">
        <f>AL70-R70</f>
        <v>-0.98839103325838995</v>
      </c>
    </row>
    <row r="71" spans="1:64" x14ac:dyDescent="0.25">
      <c r="A71" s="245"/>
      <c r="B71" s="248"/>
      <c r="C71" s="27" t="s">
        <v>46</v>
      </c>
      <c r="D71" s="183"/>
      <c r="E71" s="34">
        <v>3256974</v>
      </c>
      <c r="F71" s="61">
        <v>566272312</v>
      </c>
      <c r="G71" s="61">
        <v>67917928</v>
      </c>
      <c r="H71" s="61">
        <v>498327592</v>
      </c>
      <c r="I71" s="61">
        <v>8033550</v>
      </c>
      <c r="J71" s="61">
        <v>16568338</v>
      </c>
      <c r="K71" s="61">
        <v>26515124</v>
      </c>
      <c r="L71" s="61">
        <v>32945764</v>
      </c>
      <c r="M71" s="61">
        <v>4841156</v>
      </c>
      <c r="N71" s="61">
        <v>14781710</v>
      </c>
      <c r="O71" s="61">
        <v>20896256</v>
      </c>
      <c r="P71" s="62">
        <v>39.647175457137699</v>
      </c>
      <c r="Q71" s="62">
        <v>44.295162395400602</v>
      </c>
      <c r="R71" s="63">
        <v>0.99588819412887897</v>
      </c>
      <c r="S71" s="35">
        <v>164.12200000000001</v>
      </c>
      <c r="T71" s="35">
        <v>154.12799999999999</v>
      </c>
      <c r="U71" s="35">
        <v>7.2068300000000001</v>
      </c>
      <c r="V71" s="35">
        <v>2.8709899999999999</v>
      </c>
      <c r="W71" s="35">
        <v>151.52799999999999</v>
      </c>
      <c r="X71" s="36">
        <v>147.613</v>
      </c>
      <c r="Y71" s="34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3"/>
      <c r="AK71" s="63"/>
      <c r="AL71" s="63"/>
      <c r="AM71" s="35"/>
      <c r="AN71" s="35"/>
      <c r="AO71" s="35"/>
      <c r="AP71" s="35"/>
      <c r="AQ71" s="35"/>
      <c r="AR71" s="36"/>
      <c r="AS71" s="47"/>
      <c r="AT71" s="94"/>
      <c r="AU71" s="95"/>
      <c r="AV71" s="47"/>
      <c r="AW71" s="94"/>
      <c r="AX71" s="95"/>
      <c r="AY71" s="34">
        <f t="shared" si="46"/>
        <v>-3256974</v>
      </c>
      <c r="AZ71" s="61">
        <f t="shared" ref="AZ71:BA74" si="47">Z71-F71</f>
        <v>-566272312</v>
      </c>
      <c r="BA71" s="61">
        <f t="shared" si="47"/>
        <v>-67917928</v>
      </c>
      <c r="BB71" s="61">
        <f t="shared" si="19"/>
        <v>-498327592</v>
      </c>
      <c r="BC71" s="61">
        <f t="shared" si="20"/>
        <v>-8033550</v>
      </c>
      <c r="BD71" s="61">
        <f t="shared" si="21"/>
        <v>-16568338</v>
      </c>
      <c r="BE71" s="61">
        <f t="shared" si="22"/>
        <v>-26515124</v>
      </c>
      <c r="BF71" s="61">
        <f t="shared" si="23"/>
        <v>-32945764</v>
      </c>
      <c r="BG71" s="61">
        <f t="shared" si="24"/>
        <v>-4841156</v>
      </c>
      <c r="BH71" s="61">
        <f t="shared" si="25"/>
        <v>-14781710</v>
      </c>
      <c r="BI71" s="61">
        <f t="shared" si="26"/>
        <v>-20896256</v>
      </c>
      <c r="BJ71" s="154">
        <f t="shared" si="27"/>
        <v>-39.647175457137699</v>
      </c>
      <c r="BK71" s="154">
        <f t="shared" si="28"/>
        <v>-44.295162395400602</v>
      </c>
      <c r="BL71" s="69">
        <f t="shared" ref="BL71:BL74" si="48">AL71-R71</f>
        <v>-0.99588819412887897</v>
      </c>
    </row>
    <row r="72" spans="1:64" x14ac:dyDescent="0.25">
      <c r="A72" s="245"/>
      <c r="B72" s="248"/>
      <c r="C72" s="27" t="s">
        <v>47</v>
      </c>
      <c r="D72" s="183"/>
      <c r="E72" s="34">
        <v>3256974</v>
      </c>
      <c r="F72" s="61">
        <v>750421008</v>
      </c>
      <c r="G72" s="61">
        <v>67917928</v>
      </c>
      <c r="H72" s="61">
        <v>682476288</v>
      </c>
      <c r="I72" s="61">
        <v>10385148</v>
      </c>
      <c r="J72" s="61">
        <v>24748762</v>
      </c>
      <c r="K72" s="61">
        <v>39558080</v>
      </c>
      <c r="L72" s="61">
        <v>49540192</v>
      </c>
      <c r="M72" s="61">
        <v>5447882</v>
      </c>
      <c r="N72" s="61">
        <v>16994480</v>
      </c>
      <c r="O72" s="61">
        <v>23944528</v>
      </c>
      <c r="P72" s="62">
        <v>44.688459299066899</v>
      </c>
      <c r="Q72" s="62">
        <v>49.238464953866803</v>
      </c>
      <c r="R72" s="63">
        <v>0.99802944153613904</v>
      </c>
      <c r="S72" s="35">
        <v>167.06700000000001</v>
      </c>
      <c r="T72" s="35">
        <v>158.21600000000001</v>
      </c>
      <c r="U72" s="35">
        <v>7.12052</v>
      </c>
      <c r="V72" s="35">
        <v>2.87764</v>
      </c>
      <c r="W72" s="35">
        <v>155.34299999999999</v>
      </c>
      <c r="X72" s="36">
        <v>150.95699999999999</v>
      </c>
      <c r="Y72" s="34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3"/>
      <c r="AK72" s="63"/>
      <c r="AL72" s="63"/>
      <c r="AM72" s="35"/>
      <c r="AN72" s="35"/>
      <c r="AO72" s="35"/>
      <c r="AP72" s="35"/>
      <c r="AQ72" s="35"/>
      <c r="AR72" s="36"/>
      <c r="AS72" s="47"/>
      <c r="AT72" s="94"/>
      <c r="AU72" s="95"/>
      <c r="AV72" s="47"/>
      <c r="AW72" s="94"/>
      <c r="AX72" s="95"/>
      <c r="AY72" s="34">
        <f t="shared" si="46"/>
        <v>-3256974</v>
      </c>
      <c r="AZ72" s="61">
        <f t="shared" si="47"/>
        <v>-750421008</v>
      </c>
      <c r="BA72" s="61">
        <f t="shared" si="47"/>
        <v>-67917928</v>
      </c>
      <c r="BB72" s="61">
        <f t="shared" si="19"/>
        <v>-682476288</v>
      </c>
      <c r="BC72" s="61">
        <f t="shared" si="20"/>
        <v>-10385148</v>
      </c>
      <c r="BD72" s="61">
        <f t="shared" si="21"/>
        <v>-24748762</v>
      </c>
      <c r="BE72" s="61">
        <f t="shared" si="22"/>
        <v>-39558080</v>
      </c>
      <c r="BF72" s="61">
        <f t="shared" si="23"/>
        <v>-49540192</v>
      </c>
      <c r="BG72" s="61">
        <f t="shared" si="24"/>
        <v>-5447882</v>
      </c>
      <c r="BH72" s="61">
        <f t="shared" si="25"/>
        <v>-16994480</v>
      </c>
      <c r="BI72" s="61">
        <f t="shared" si="26"/>
        <v>-23944528</v>
      </c>
      <c r="BJ72" s="154">
        <f t="shared" si="27"/>
        <v>-44.688459299066899</v>
      </c>
      <c r="BK72" s="154">
        <f t="shared" si="28"/>
        <v>-49.238464953866803</v>
      </c>
      <c r="BL72" s="69">
        <f t="shared" si="48"/>
        <v>-0.99802944153613904</v>
      </c>
    </row>
    <row r="73" spans="1:64" x14ac:dyDescent="0.25">
      <c r="A73" s="245"/>
      <c r="B73" s="248"/>
      <c r="C73" s="27" t="s">
        <v>48</v>
      </c>
      <c r="D73" s="183"/>
      <c r="E73" s="34">
        <v>3256974</v>
      </c>
      <c r="F73" s="61">
        <v>950234048</v>
      </c>
      <c r="G73" s="61">
        <v>67917928</v>
      </c>
      <c r="H73" s="61">
        <v>882289440</v>
      </c>
      <c r="I73" s="61">
        <v>12868382</v>
      </c>
      <c r="J73" s="61">
        <v>33524884</v>
      </c>
      <c r="K73" s="61">
        <v>53639352</v>
      </c>
      <c r="L73" s="61">
        <v>67994764</v>
      </c>
      <c r="M73" s="61">
        <v>6170830</v>
      </c>
      <c r="N73" s="61">
        <v>19265806</v>
      </c>
      <c r="O73" s="61">
        <v>27108342</v>
      </c>
      <c r="P73" s="62">
        <v>48.1745784834376</v>
      </c>
      <c r="Q73" s="62">
        <v>52.556577400572898</v>
      </c>
      <c r="R73" s="63">
        <v>0.99860619844099996</v>
      </c>
      <c r="S73" s="35">
        <v>154.399</v>
      </c>
      <c r="T73" s="35">
        <v>165.422</v>
      </c>
      <c r="U73" s="35">
        <v>6.45479</v>
      </c>
      <c r="V73" s="35">
        <v>2.8976099999999998</v>
      </c>
      <c r="W73" s="35">
        <v>143.495</v>
      </c>
      <c r="X73" s="36">
        <v>157.09200000000001</v>
      </c>
      <c r="Y73" s="34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3"/>
      <c r="AK73" s="63"/>
      <c r="AL73" s="63"/>
      <c r="AM73" s="35"/>
      <c r="AN73" s="35"/>
      <c r="AO73" s="35"/>
      <c r="AP73" s="35"/>
      <c r="AQ73" s="35"/>
      <c r="AR73" s="36"/>
      <c r="AS73" s="47"/>
      <c r="AT73" s="94"/>
      <c r="AU73" s="95"/>
      <c r="AV73" s="47"/>
      <c r="AW73" s="94"/>
      <c r="AX73" s="95"/>
      <c r="AY73" s="34">
        <f t="shared" si="46"/>
        <v>-3256974</v>
      </c>
      <c r="AZ73" s="61">
        <f t="shared" si="47"/>
        <v>-950234048</v>
      </c>
      <c r="BA73" s="61">
        <f t="shared" si="47"/>
        <v>-67917928</v>
      </c>
      <c r="BB73" s="61">
        <f t="shared" si="19"/>
        <v>-882289440</v>
      </c>
      <c r="BC73" s="61">
        <f t="shared" si="20"/>
        <v>-12868382</v>
      </c>
      <c r="BD73" s="61">
        <f t="shared" si="21"/>
        <v>-33524884</v>
      </c>
      <c r="BE73" s="61">
        <f t="shared" si="22"/>
        <v>-53639352</v>
      </c>
      <c r="BF73" s="61">
        <f t="shared" si="23"/>
        <v>-67994764</v>
      </c>
      <c r="BG73" s="61">
        <f t="shared" si="24"/>
        <v>-6170830</v>
      </c>
      <c r="BH73" s="61">
        <f t="shared" si="25"/>
        <v>-19265806</v>
      </c>
      <c r="BI73" s="61">
        <f t="shared" si="26"/>
        <v>-27108342</v>
      </c>
      <c r="BJ73" s="154">
        <f t="shared" si="27"/>
        <v>-48.1745784834376</v>
      </c>
      <c r="BK73" s="154">
        <f t="shared" si="28"/>
        <v>-52.556577400572898</v>
      </c>
      <c r="BL73" s="69">
        <f t="shared" si="48"/>
        <v>-0.99860619844099996</v>
      </c>
    </row>
    <row r="74" spans="1:64" ht="15.75" thickBot="1" x14ac:dyDescent="0.3">
      <c r="A74" s="245"/>
      <c r="B74" s="249"/>
      <c r="C74" s="28" t="s">
        <v>49</v>
      </c>
      <c r="D74" s="44"/>
      <c r="E74" s="37">
        <v>3256974</v>
      </c>
      <c r="F74" s="64">
        <v>1140499416</v>
      </c>
      <c r="G74" s="64">
        <v>67917928</v>
      </c>
      <c r="H74" s="64">
        <v>1072554808</v>
      </c>
      <c r="I74" s="64">
        <v>15366446</v>
      </c>
      <c r="J74" s="64">
        <v>40773352</v>
      </c>
      <c r="K74" s="64">
        <v>66158622</v>
      </c>
      <c r="L74" s="64">
        <v>86867182</v>
      </c>
      <c r="M74" s="64">
        <v>6955494</v>
      </c>
      <c r="N74" s="64">
        <v>21665564</v>
      </c>
      <c r="O74" s="64">
        <v>30352042</v>
      </c>
      <c r="P74" s="65">
        <v>49.8377988074634</v>
      </c>
      <c r="Q74" s="65">
        <v>54.103220586702299</v>
      </c>
      <c r="R74" s="66">
        <v>0.99880182542843898</v>
      </c>
      <c r="S74" s="22">
        <v>158.17599999999999</v>
      </c>
      <c r="T74" s="22">
        <v>167.828</v>
      </c>
      <c r="U74" s="22">
        <v>6.4410999999999996</v>
      </c>
      <c r="V74" s="22">
        <v>2.8916300000000001</v>
      </c>
      <c r="W74" s="22">
        <v>146.27799999999999</v>
      </c>
      <c r="X74" s="38">
        <v>159.23500000000001</v>
      </c>
      <c r="Y74" s="37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6"/>
      <c r="AK74" s="66"/>
      <c r="AL74" s="66"/>
      <c r="AM74" s="22"/>
      <c r="AN74" s="22"/>
      <c r="AO74" s="22"/>
      <c r="AP74" s="22"/>
      <c r="AQ74" s="22"/>
      <c r="AR74" s="38"/>
      <c r="AS74" s="48"/>
      <c r="AT74" s="94"/>
      <c r="AU74" s="95"/>
      <c r="AV74" s="48"/>
      <c r="AW74" s="94"/>
      <c r="AX74" s="95"/>
      <c r="AY74" s="37">
        <f t="shared" si="46"/>
        <v>-3256974</v>
      </c>
      <c r="AZ74" s="64">
        <f t="shared" si="47"/>
        <v>-1140499416</v>
      </c>
      <c r="BA74" s="64">
        <f t="shared" si="47"/>
        <v>-67917928</v>
      </c>
      <c r="BB74" s="64">
        <f t="shared" si="19"/>
        <v>-1072554808</v>
      </c>
      <c r="BC74" s="64">
        <f t="shared" si="20"/>
        <v>-15366446</v>
      </c>
      <c r="BD74" s="64">
        <f t="shared" si="21"/>
        <v>-40773352</v>
      </c>
      <c r="BE74" s="64">
        <f t="shared" si="22"/>
        <v>-66158622</v>
      </c>
      <c r="BF74" s="64">
        <f t="shared" si="23"/>
        <v>-86867182</v>
      </c>
      <c r="BG74" s="64">
        <f t="shared" si="24"/>
        <v>-6955494</v>
      </c>
      <c r="BH74" s="64">
        <f t="shared" si="25"/>
        <v>-21665564</v>
      </c>
      <c r="BI74" s="64">
        <f t="shared" si="26"/>
        <v>-30352042</v>
      </c>
      <c r="BJ74" s="70">
        <f t="shared" si="27"/>
        <v>-49.8377988074634</v>
      </c>
      <c r="BK74" s="70">
        <f t="shared" si="28"/>
        <v>-54.103220586702299</v>
      </c>
      <c r="BL74" s="71">
        <f t="shared" si="48"/>
        <v>-0.99880182542843898</v>
      </c>
    </row>
    <row r="75" spans="1:64" x14ac:dyDescent="0.25">
      <c r="A75" s="245"/>
      <c r="B75" s="247" t="s">
        <v>1314</v>
      </c>
      <c r="C75" s="26" t="s">
        <v>45</v>
      </c>
      <c r="D75" s="43"/>
      <c r="E75" s="32">
        <v>2793162</v>
      </c>
      <c r="F75" s="58">
        <v>359996648</v>
      </c>
      <c r="G75" s="58">
        <v>56465848</v>
      </c>
      <c r="H75" s="58">
        <v>303504008</v>
      </c>
      <c r="I75" s="58">
        <v>5195098</v>
      </c>
      <c r="J75" s="58">
        <v>8979718</v>
      </c>
      <c r="K75" s="58">
        <v>14586252</v>
      </c>
      <c r="L75" s="58">
        <v>19347184</v>
      </c>
      <c r="M75" s="58">
        <v>3588318</v>
      </c>
      <c r="N75" s="58">
        <v>8679564</v>
      </c>
      <c r="O75" s="58">
        <v>15499868</v>
      </c>
      <c r="P75" s="59">
        <v>30.937535021368699</v>
      </c>
      <c r="Q75" s="59">
        <v>35.568661346559999</v>
      </c>
      <c r="R75" s="60">
        <v>0.98314820746550002</v>
      </c>
      <c r="S75" s="21">
        <v>144.45599999999999</v>
      </c>
      <c r="T75" s="21">
        <v>133.453</v>
      </c>
      <c r="U75" s="21">
        <v>6.0734399999999997</v>
      </c>
      <c r="V75" s="21">
        <v>2.4023699999999999</v>
      </c>
      <c r="W75" s="21">
        <v>133.434</v>
      </c>
      <c r="X75" s="33">
        <v>128.114</v>
      </c>
      <c r="Y75" s="32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60"/>
      <c r="AK75" s="60"/>
      <c r="AL75" s="60"/>
      <c r="AM75" s="21"/>
      <c r="AN75" s="21"/>
      <c r="AO75" s="21"/>
      <c r="AP75" s="21"/>
      <c r="AQ75" s="21"/>
      <c r="AR75" s="33"/>
      <c r="AS75" s="171" t="str">
        <f ca="1">bdRateHermiteNew(INDIRECT("F75:F79"), INDIRECT("P75:P79"), INDIRECT("Z75:Z79"), INDIRECT("AJ75:AJ79"))</f>
        <v>No Test</v>
      </c>
      <c r="AT75" s="172" t="str">
        <f ca="1">bdRateHermiteNew(INDIRECT("F75:F79"), INDIRECT("Q75:Q79"), INDIRECT("Z75:Z79"), INDIRECT("AK75:AK79"))</f>
        <v>No Test</v>
      </c>
      <c r="AU75" s="173" t="str">
        <f ca="1">bdRateHermiteNew(INDIRECT("F75:F79"), INDIRECT("R75:R79"), INDIRECT("Z75:Z79"), INDIRECT("AL75:AL79"))</f>
        <v>No Test</v>
      </c>
      <c r="AV75" s="171" t="str">
        <f ca="1">bdRateHermiteNew(INDIRECT("H75:H79"), INDIRECT("P75:P79"), INDIRECT("AB75:AB79"), INDIRECT("AJ75:AJ79"))</f>
        <v>No Test</v>
      </c>
      <c r="AW75" s="172" t="str">
        <f ca="1">bdRateHermiteNew(INDIRECT("H75:H79"), INDIRECT("Q75:Q79"), INDIRECT("AB75:AB79"), INDIRECT("AK75:AK79"))</f>
        <v>No Test</v>
      </c>
      <c r="AX75" s="173" t="str">
        <f ca="1">bdRateHermiteNew(INDIRECT("H75:H79"), INDIRECT("R75:R79"), INDIRECT("AB75:AB79"), INDIRECT("AL75:AL79"))</f>
        <v>No Test</v>
      </c>
      <c r="AY75" s="32">
        <f t="shared" si="46"/>
        <v>-2793162</v>
      </c>
      <c r="AZ75" s="58">
        <f t="shared" si="42"/>
        <v>-359996648</v>
      </c>
      <c r="BA75" s="58">
        <f t="shared" si="18"/>
        <v>-56465848</v>
      </c>
      <c r="BB75" s="58">
        <f t="shared" si="19"/>
        <v>-303504008</v>
      </c>
      <c r="BC75" s="58">
        <f t="shared" si="20"/>
        <v>-5195098</v>
      </c>
      <c r="BD75" s="58">
        <f t="shared" si="21"/>
        <v>-8979718</v>
      </c>
      <c r="BE75" s="58">
        <f t="shared" si="22"/>
        <v>-14586252</v>
      </c>
      <c r="BF75" s="58">
        <f t="shared" si="23"/>
        <v>-19347184</v>
      </c>
      <c r="BG75" s="58">
        <f t="shared" si="24"/>
        <v>-3588318</v>
      </c>
      <c r="BH75" s="58">
        <f t="shared" si="25"/>
        <v>-8679564</v>
      </c>
      <c r="BI75" s="58">
        <f t="shared" si="26"/>
        <v>-15499868</v>
      </c>
      <c r="BJ75" s="67">
        <f t="shared" si="27"/>
        <v>-30.937535021368699</v>
      </c>
      <c r="BK75" s="67">
        <f t="shared" si="28"/>
        <v>-35.568661346559999</v>
      </c>
      <c r="BL75" s="68">
        <f>AL75-R75</f>
        <v>-0.98314820746550002</v>
      </c>
    </row>
    <row r="76" spans="1:64" x14ac:dyDescent="0.25">
      <c r="A76" s="245"/>
      <c r="B76" s="248"/>
      <c r="C76" s="27" t="s">
        <v>46</v>
      </c>
      <c r="D76" s="183"/>
      <c r="E76" s="34">
        <v>2793162</v>
      </c>
      <c r="F76" s="61">
        <v>499828608</v>
      </c>
      <c r="G76" s="61">
        <v>56465848</v>
      </c>
      <c r="H76" s="61">
        <v>443335968</v>
      </c>
      <c r="I76" s="61">
        <v>7328392</v>
      </c>
      <c r="J76" s="61">
        <v>14590232</v>
      </c>
      <c r="K76" s="61">
        <v>23827442</v>
      </c>
      <c r="L76" s="61">
        <v>32093386</v>
      </c>
      <c r="M76" s="61">
        <v>4257170</v>
      </c>
      <c r="N76" s="61">
        <v>10959378</v>
      </c>
      <c r="O76" s="61">
        <v>17777992</v>
      </c>
      <c r="P76" s="62">
        <v>37.304320406813297</v>
      </c>
      <c r="Q76" s="62">
        <v>41.925013539281899</v>
      </c>
      <c r="R76" s="63">
        <v>0.99440582797140997</v>
      </c>
      <c r="S76" s="35">
        <v>141.31</v>
      </c>
      <c r="T76" s="35">
        <v>141.47999999999999</v>
      </c>
      <c r="U76" s="35">
        <v>6.0449900000000003</v>
      </c>
      <c r="V76" s="35">
        <v>2.4077999999999999</v>
      </c>
      <c r="W76" s="35">
        <v>131.15299999999999</v>
      </c>
      <c r="X76" s="36">
        <v>135.31100000000001</v>
      </c>
      <c r="Y76" s="34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3"/>
      <c r="AK76" s="63"/>
      <c r="AL76" s="63"/>
      <c r="AM76" s="35"/>
      <c r="AN76" s="35"/>
      <c r="AO76" s="35"/>
      <c r="AP76" s="35"/>
      <c r="AQ76" s="35"/>
      <c r="AR76" s="36"/>
      <c r="AS76" s="47"/>
      <c r="AT76" s="94"/>
      <c r="AU76" s="95"/>
      <c r="AV76" s="47"/>
      <c r="AW76" s="94"/>
      <c r="AX76" s="95"/>
      <c r="AY76" s="34">
        <f t="shared" si="46"/>
        <v>-2793162</v>
      </c>
      <c r="AZ76" s="61">
        <f t="shared" si="42"/>
        <v>-499828608</v>
      </c>
      <c r="BA76" s="61">
        <f t="shared" si="18"/>
        <v>-56465848</v>
      </c>
      <c r="BB76" s="61">
        <f t="shared" si="19"/>
        <v>-443335968</v>
      </c>
      <c r="BC76" s="61">
        <f t="shared" si="20"/>
        <v>-7328392</v>
      </c>
      <c r="BD76" s="61">
        <f t="shared" si="21"/>
        <v>-14590232</v>
      </c>
      <c r="BE76" s="61">
        <f t="shared" si="22"/>
        <v>-23827442</v>
      </c>
      <c r="BF76" s="61">
        <f t="shared" si="23"/>
        <v>-32093386</v>
      </c>
      <c r="BG76" s="61">
        <f t="shared" si="24"/>
        <v>-4257170</v>
      </c>
      <c r="BH76" s="61">
        <f t="shared" si="25"/>
        <v>-10959378</v>
      </c>
      <c r="BI76" s="61">
        <f t="shared" si="26"/>
        <v>-17777992</v>
      </c>
      <c r="BJ76" s="154">
        <f t="shared" si="27"/>
        <v>-37.304320406813297</v>
      </c>
      <c r="BK76" s="154">
        <f t="shared" si="28"/>
        <v>-41.925013539281899</v>
      </c>
      <c r="BL76" s="69">
        <f t="shared" ref="BL76:BL79" si="49">AL76-R76</f>
        <v>-0.99440582797140997</v>
      </c>
    </row>
    <row r="77" spans="1:64" x14ac:dyDescent="0.25">
      <c r="A77" s="245"/>
      <c r="B77" s="248"/>
      <c r="C77" s="27" t="s">
        <v>47</v>
      </c>
      <c r="D77" s="183"/>
      <c r="E77" s="34">
        <v>2793162</v>
      </c>
      <c r="F77" s="61">
        <v>664028880</v>
      </c>
      <c r="G77" s="61">
        <v>56465848</v>
      </c>
      <c r="H77" s="61">
        <v>607536240</v>
      </c>
      <c r="I77" s="61">
        <v>9483436</v>
      </c>
      <c r="J77" s="61">
        <v>21672182</v>
      </c>
      <c r="K77" s="61">
        <v>35344220</v>
      </c>
      <c r="L77" s="61">
        <v>47519750</v>
      </c>
      <c r="M77" s="61">
        <v>4799084</v>
      </c>
      <c r="N77" s="61">
        <v>12754546</v>
      </c>
      <c r="O77" s="61">
        <v>20310842</v>
      </c>
      <c r="P77" s="62">
        <v>42.589170835531597</v>
      </c>
      <c r="Q77" s="62">
        <v>47.1301061346891</v>
      </c>
      <c r="R77" s="63">
        <v>0.99743336495539003</v>
      </c>
      <c r="S77" s="35">
        <v>128.298</v>
      </c>
      <c r="T77" s="35">
        <v>137.35</v>
      </c>
      <c r="U77" s="35">
        <v>5.3731400000000002</v>
      </c>
      <c r="V77" s="35">
        <v>2.3711500000000001</v>
      </c>
      <c r="W77" s="35">
        <v>118.27200000000001</v>
      </c>
      <c r="X77" s="36">
        <v>131.00700000000001</v>
      </c>
      <c r="Y77" s="34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3"/>
      <c r="AK77" s="63"/>
      <c r="AL77" s="63"/>
      <c r="AM77" s="35"/>
      <c r="AN77" s="35"/>
      <c r="AO77" s="35"/>
      <c r="AP77" s="35"/>
      <c r="AQ77" s="35"/>
      <c r="AR77" s="36"/>
      <c r="AS77" s="47"/>
      <c r="AT77" s="94"/>
      <c r="AU77" s="95"/>
      <c r="AV77" s="47"/>
      <c r="AW77" s="94"/>
      <c r="AX77" s="95"/>
      <c r="AY77" s="34">
        <f t="shared" si="46"/>
        <v>-2793162</v>
      </c>
      <c r="AZ77" s="61">
        <f t="shared" si="42"/>
        <v>-664028880</v>
      </c>
      <c r="BA77" s="61">
        <f t="shared" si="18"/>
        <v>-56465848</v>
      </c>
      <c r="BB77" s="61">
        <f t="shared" si="19"/>
        <v>-607536240</v>
      </c>
      <c r="BC77" s="61">
        <f t="shared" si="20"/>
        <v>-9483436</v>
      </c>
      <c r="BD77" s="61">
        <f t="shared" si="21"/>
        <v>-21672182</v>
      </c>
      <c r="BE77" s="61">
        <f t="shared" si="22"/>
        <v>-35344220</v>
      </c>
      <c r="BF77" s="61">
        <f t="shared" si="23"/>
        <v>-47519750</v>
      </c>
      <c r="BG77" s="61">
        <f t="shared" si="24"/>
        <v>-4799084</v>
      </c>
      <c r="BH77" s="61">
        <f t="shared" si="25"/>
        <v>-12754546</v>
      </c>
      <c r="BI77" s="61">
        <f t="shared" si="26"/>
        <v>-20310842</v>
      </c>
      <c r="BJ77" s="154">
        <f t="shared" si="27"/>
        <v>-42.589170835531597</v>
      </c>
      <c r="BK77" s="154">
        <f t="shared" si="28"/>
        <v>-47.1301061346891</v>
      </c>
      <c r="BL77" s="69">
        <f t="shared" si="49"/>
        <v>-0.99743336495539003</v>
      </c>
    </row>
    <row r="78" spans="1:64" x14ac:dyDescent="0.25">
      <c r="A78" s="245"/>
      <c r="B78" s="248"/>
      <c r="C78" s="27" t="s">
        <v>48</v>
      </c>
      <c r="D78" s="183"/>
      <c r="E78" s="34">
        <v>2793162</v>
      </c>
      <c r="F78" s="61">
        <v>841405976</v>
      </c>
      <c r="G78" s="61">
        <v>56465848</v>
      </c>
      <c r="H78" s="61">
        <v>784913448</v>
      </c>
      <c r="I78" s="61">
        <v>11595170</v>
      </c>
      <c r="J78" s="61">
        <v>29251452</v>
      </c>
      <c r="K78" s="61">
        <v>47739802</v>
      </c>
      <c r="L78" s="61">
        <v>64672074</v>
      </c>
      <c r="M78" s="61">
        <v>5424460</v>
      </c>
      <c r="N78" s="61">
        <v>14561346</v>
      </c>
      <c r="O78" s="61">
        <v>22984058</v>
      </c>
      <c r="P78" s="62">
        <v>46.002433427253997</v>
      </c>
      <c r="Q78" s="62">
        <v>50.475648494373097</v>
      </c>
      <c r="R78" s="63">
        <v>0.99823290499815998</v>
      </c>
      <c r="S78" s="35">
        <v>151.68700000000001</v>
      </c>
      <c r="T78" s="35">
        <v>136.55000000000001</v>
      </c>
      <c r="U78" s="35">
        <v>6.3671300000000004</v>
      </c>
      <c r="V78" s="35">
        <v>2.4340000000000002</v>
      </c>
      <c r="W78" s="35">
        <v>140.98400000000001</v>
      </c>
      <c r="X78" s="36">
        <v>129.31899999999999</v>
      </c>
      <c r="Y78" s="34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3"/>
      <c r="AK78" s="63"/>
      <c r="AL78" s="63"/>
      <c r="AM78" s="35"/>
      <c r="AN78" s="35"/>
      <c r="AO78" s="35"/>
      <c r="AP78" s="35"/>
      <c r="AQ78" s="35"/>
      <c r="AR78" s="36"/>
      <c r="AS78" s="47"/>
      <c r="AT78" s="94"/>
      <c r="AU78" s="95"/>
      <c r="AV78" s="47"/>
      <c r="AW78" s="94"/>
      <c r="AX78" s="95"/>
      <c r="AY78" s="34">
        <f t="shared" si="46"/>
        <v>-2793162</v>
      </c>
      <c r="AZ78" s="61">
        <f t="shared" si="42"/>
        <v>-841405976</v>
      </c>
      <c r="BA78" s="61">
        <f t="shared" si="18"/>
        <v>-56465848</v>
      </c>
      <c r="BB78" s="61">
        <f t="shared" si="19"/>
        <v>-784913448</v>
      </c>
      <c r="BC78" s="61">
        <f t="shared" si="20"/>
        <v>-11595170</v>
      </c>
      <c r="BD78" s="61">
        <f t="shared" si="21"/>
        <v>-29251452</v>
      </c>
      <c r="BE78" s="61">
        <f t="shared" si="22"/>
        <v>-47739802</v>
      </c>
      <c r="BF78" s="61">
        <f t="shared" si="23"/>
        <v>-64672074</v>
      </c>
      <c r="BG78" s="61">
        <f t="shared" si="24"/>
        <v>-5424460</v>
      </c>
      <c r="BH78" s="61">
        <f t="shared" si="25"/>
        <v>-14561346</v>
      </c>
      <c r="BI78" s="61">
        <f t="shared" si="26"/>
        <v>-22984058</v>
      </c>
      <c r="BJ78" s="154">
        <f t="shared" si="27"/>
        <v>-46.002433427253997</v>
      </c>
      <c r="BK78" s="154">
        <f t="shared" si="28"/>
        <v>-50.475648494373097</v>
      </c>
      <c r="BL78" s="69">
        <f t="shared" si="49"/>
        <v>-0.99823290499815998</v>
      </c>
    </row>
    <row r="79" spans="1:64" ht="15.75" thickBot="1" x14ac:dyDescent="0.3">
      <c r="A79" s="245"/>
      <c r="B79" s="249"/>
      <c r="C79" s="28" t="s">
        <v>49</v>
      </c>
      <c r="D79" s="44"/>
      <c r="E79" s="37">
        <v>2793162</v>
      </c>
      <c r="F79" s="64">
        <v>1000549416</v>
      </c>
      <c r="G79" s="64">
        <v>56465848</v>
      </c>
      <c r="H79" s="64">
        <v>944056888</v>
      </c>
      <c r="I79" s="64">
        <v>13583608</v>
      </c>
      <c r="J79" s="64">
        <v>35418854</v>
      </c>
      <c r="K79" s="64">
        <v>58270430</v>
      </c>
      <c r="L79" s="64">
        <v>80326378</v>
      </c>
      <c r="M79" s="64">
        <v>6101592</v>
      </c>
      <c r="N79" s="64">
        <v>16509672</v>
      </c>
      <c r="O79" s="64">
        <v>25803688</v>
      </c>
      <c r="P79" s="65">
        <v>47.936723852388297</v>
      </c>
      <c r="Q79" s="65">
        <v>52.306370329871598</v>
      </c>
      <c r="R79" s="66">
        <v>0.99848030663262</v>
      </c>
      <c r="S79" s="22">
        <v>134.386</v>
      </c>
      <c r="T79" s="22">
        <v>144.93700000000001</v>
      </c>
      <c r="U79" s="22">
        <v>5.4288299999999996</v>
      </c>
      <c r="V79" s="22">
        <v>2.3592399999999998</v>
      </c>
      <c r="W79" s="22">
        <v>124.42700000000001</v>
      </c>
      <c r="X79" s="38">
        <v>137.44200000000001</v>
      </c>
      <c r="Y79" s="37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6"/>
      <c r="AK79" s="66"/>
      <c r="AL79" s="66"/>
      <c r="AM79" s="22"/>
      <c r="AN79" s="22"/>
      <c r="AO79" s="22"/>
      <c r="AP79" s="22"/>
      <c r="AQ79" s="22"/>
      <c r="AR79" s="38"/>
      <c r="AS79" s="48"/>
      <c r="AT79" s="94"/>
      <c r="AU79" s="95"/>
      <c r="AV79" s="48"/>
      <c r="AW79" s="94"/>
      <c r="AX79" s="95"/>
      <c r="AY79" s="37">
        <f t="shared" si="46"/>
        <v>-2793162</v>
      </c>
      <c r="AZ79" s="64">
        <f t="shared" si="42"/>
        <v>-1000549416</v>
      </c>
      <c r="BA79" s="64">
        <f t="shared" si="18"/>
        <v>-56465848</v>
      </c>
      <c r="BB79" s="64">
        <f t="shared" si="19"/>
        <v>-944056888</v>
      </c>
      <c r="BC79" s="64">
        <f t="shared" si="20"/>
        <v>-13583608</v>
      </c>
      <c r="BD79" s="64">
        <f t="shared" si="21"/>
        <v>-35418854</v>
      </c>
      <c r="BE79" s="64">
        <f t="shared" si="22"/>
        <v>-58270430</v>
      </c>
      <c r="BF79" s="64">
        <f t="shared" si="23"/>
        <v>-80326378</v>
      </c>
      <c r="BG79" s="64">
        <f t="shared" si="24"/>
        <v>-6101592</v>
      </c>
      <c r="BH79" s="64">
        <f t="shared" si="25"/>
        <v>-16509672</v>
      </c>
      <c r="BI79" s="64">
        <f t="shared" si="26"/>
        <v>-25803688</v>
      </c>
      <c r="BJ79" s="70">
        <f t="shared" si="27"/>
        <v>-47.936723852388297</v>
      </c>
      <c r="BK79" s="70">
        <f t="shared" si="28"/>
        <v>-52.306370329871598</v>
      </c>
      <c r="BL79" s="71">
        <f t="shared" si="49"/>
        <v>-0.99848030663262</v>
      </c>
    </row>
    <row r="80" spans="1:64" x14ac:dyDescent="0.25">
      <c r="A80" s="245"/>
      <c r="B80" s="247" t="s">
        <v>1315</v>
      </c>
      <c r="C80" s="26" t="s">
        <v>45</v>
      </c>
      <c r="D80" s="43"/>
      <c r="E80" s="32">
        <v>1821546</v>
      </c>
      <c r="F80" s="58">
        <v>251812384</v>
      </c>
      <c r="G80" s="58">
        <v>40851048</v>
      </c>
      <c r="H80" s="58">
        <v>210945696</v>
      </c>
      <c r="I80" s="58">
        <v>5969180</v>
      </c>
      <c r="J80" s="58">
        <v>12730624</v>
      </c>
      <c r="K80" s="58">
        <v>20048368</v>
      </c>
      <c r="L80" s="58">
        <v>26231816</v>
      </c>
      <c r="M80" s="58">
        <v>4696968</v>
      </c>
      <c r="N80" s="58">
        <v>14328068</v>
      </c>
      <c r="O80" s="58">
        <v>21467824</v>
      </c>
      <c r="P80" s="59">
        <v>34.652531142901701</v>
      </c>
      <c r="Q80" s="59">
        <v>39.352472387298199</v>
      </c>
      <c r="R80" s="60">
        <v>0.98953759616061998</v>
      </c>
      <c r="S80" s="21">
        <v>91.744799999999998</v>
      </c>
      <c r="T80" s="21">
        <v>80.835700000000003</v>
      </c>
      <c r="U80" s="21">
        <v>4.1923500000000002</v>
      </c>
      <c r="V80" s="21">
        <v>1.52864</v>
      </c>
      <c r="W80" s="21">
        <v>84.912099999999995</v>
      </c>
      <c r="X80" s="33">
        <v>77.360799999999998</v>
      </c>
      <c r="Y80" s="32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60"/>
      <c r="AK80" s="60"/>
      <c r="AL80" s="60"/>
      <c r="AM80" s="21"/>
      <c r="AN80" s="21"/>
      <c r="AO80" s="21"/>
      <c r="AP80" s="21"/>
      <c r="AQ80" s="21"/>
      <c r="AR80" s="33"/>
      <c r="AS80" s="171" t="str">
        <f ca="1">bdRateHermiteNew(INDIRECT("F80:F84"), INDIRECT("P80:P84"), INDIRECT("Z80:Z84"), INDIRECT("AJ80:AJ84"))</f>
        <v>No Test</v>
      </c>
      <c r="AT80" s="172" t="str">
        <f ca="1">bdRateHermiteNew(INDIRECT("F80:F84"), INDIRECT("Q80:Q84"), INDIRECT("Z80:Z84"), INDIRECT("AK80:AK84"))</f>
        <v>No Test</v>
      </c>
      <c r="AU80" s="173" t="str">
        <f ca="1">bdRateHermiteNew(INDIRECT("F80:F84"), INDIRECT("R80:R84"), INDIRECT("Z80:Z84"), INDIRECT("AL80:AL84"))</f>
        <v>No Test</v>
      </c>
      <c r="AV80" s="171" t="str">
        <f ca="1">bdRateHermiteNew(INDIRECT("H80:H84"), INDIRECT("P80:P84"), INDIRECT("AB80:AB84"), INDIRECT("AJ80:AJ84"))</f>
        <v>No Test</v>
      </c>
      <c r="AW80" s="172" t="str">
        <f ca="1">bdRateHermiteNew(INDIRECT("H80:H84"), INDIRECT("Q80:Q84"), INDIRECT("AB80:AB84"), INDIRECT("AK80:AK84"))</f>
        <v>No Test</v>
      </c>
      <c r="AX80" s="173" t="str">
        <f ca="1">bdRateHermiteNew(INDIRECT("H80:H84"), INDIRECT("R80:R84"), INDIRECT("AB80:AB84"), INDIRECT("AL80:AL84"))</f>
        <v>No Test</v>
      </c>
      <c r="AY80" s="32">
        <f t="shared" si="46"/>
        <v>-1821546</v>
      </c>
      <c r="AZ80" s="58">
        <f t="shared" si="42"/>
        <v>-251812384</v>
      </c>
      <c r="BA80" s="58">
        <f t="shared" si="18"/>
        <v>-40851048</v>
      </c>
      <c r="BB80" s="58">
        <f t="shared" si="19"/>
        <v>-210945696</v>
      </c>
      <c r="BC80" s="58">
        <f t="shared" si="20"/>
        <v>-5969180</v>
      </c>
      <c r="BD80" s="58">
        <f t="shared" si="21"/>
        <v>-12730624</v>
      </c>
      <c r="BE80" s="58">
        <f t="shared" si="22"/>
        <v>-20048368</v>
      </c>
      <c r="BF80" s="58">
        <f t="shared" si="23"/>
        <v>-26231816</v>
      </c>
      <c r="BG80" s="58">
        <f t="shared" si="24"/>
        <v>-4696968</v>
      </c>
      <c r="BH80" s="58">
        <f t="shared" si="25"/>
        <v>-14328068</v>
      </c>
      <c r="BI80" s="58">
        <f t="shared" si="26"/>
        <v>-21467824</v>
      </c>
      <c r="BJ80" s="67">
        <f t="shared" si="27"/>
        <v>-34.652531142901701</v>
      </c>
      <c r="BK80" s="67">
        <f t="shared" si="28"/>
        <v>-39.352472387298199</v>
      </c>
      <c r="BL80" s="68">
        <f>AL80-R80</f>
        <v>-0.98953759616061998</v>
      </c>
    </row>
    <row r="81" spans="1:64" x14ac:dyDescent="0.25">
      <c r="A81" s="245"/>
      <c r="B81" s="248"/>
      <c r="C81" s="27" t="s">
        <v>46</v>
      </c>
      <c r="D81" s="183"/>
      <c r="E81" s="34">
        <v>1821546</v>
      </c>
      <c r="F81" s="61">
        <v>343250744</v>
      </c>
      <c r="G81" s="61">
        <v>40851048</v>
      </c>
      <c r="H81" s="61">
        <v>302384056</v>
      </c>
      <c r="I81" s="61">
        <v>8594292</v>
      </c>
      <c r="J81" s="61">
        <v>20278964</v>
      </c>
      <c r="K81" s="61">
        <v>32349904</v>
      </c>
      <c r="L81" s="61">
        <v>43208652</v>
      </c>
      <c r="M81" s="61">
        <v>5584860</v>
      </c>
      <c r="N81" s="61">
        <v>16686160</v>
      </c>
      <c r="O81" s="61">
        <v>24489196</v>
      </c>
      <c r="P81" s="62">
        <v>40.517315101983002</v>
      </c>
      <c r="Q81" s="62">
        <v>45.163850116911199</v>
      </c>
      <c r="R81" s="63">
        <v>0.99622236595357005</v>
      </c>
      <c r="S81" s="35">
        <v>90.125699999999995</v>
      </c>
      <c r="T81" s="35">
        <v>87.543000000000006</v>
      </c>
      <c r="U81" s="35">
        <v>3.97621</v>
      </c>
      <c r="V81" s="35">
        <v>1.57094</v>
      </c>
      <c r="W81" s="35">
        <v>83.069199999999995</v>
      </c>
      <c r="X81" s="36">
        <v>83.863600000000005</v>
      </c>
      <c r="Y81" s="34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3"/>
      <c r="AK81" s="63"/>
      <c r="AL81" s="63"/>
      <c r="AM81" s="35"/>
      <c r="AN81" s="35"/>
      <c r="AO81" s="35"/>
      <c r="AP81" s="35"/>
      <c r="AQ81" s="35"/>
      <c r="AR81" s="36"/>
      <c r="AS81" s="47"/>
      <c r="AT81" s="94"/>
      <c r="AU81" s="95"/>
      <c r="AV81" s="47"/>
      <c r="AW81" s="94"/>
      <c r="AX81" s="95"/>
      <c r="AY81" s="34">
        <f t="shared" si="46"/>
        <v>-1821546</v>
      </c>
      <c r="AZ81" s="61">
        <f t="shared" si="42"/>
        <v>-343250744</v>
      </c>
      <c r="BA81" s="61">
        <f t="shared" si="18"/>
        <v>-40851048</v>
      </c>
      <c r="BB81" s="61">
        <f t="shared" si="19"/>
        <v>-302384056</v>
      </c>
      <c r="BC81" s="61">
        <f t="shared" si="20"/>
        <v>-8594292</v>
      </c>
      <c r="BD81" s="61">
        <f t="shared" si="21"/>
        <v>-20278964</v>
      </c>
      <c r="BE81" s="61">
        <f t="shared" si="22"/>
        <v>-32349904</v>
      </c>
      <c r="BF81" s="61">
        <f t="shared" si="23"/>
        <v>-43208652</v>
      </c>
      <c r="BG81" s="61">
        <f t="shared" si="24"/>
        <v>-5584860</v>
      </c>
      <c r="BH81" s="61">
        <f t="shared" si="25"/>
        <v>-16686160</v>
      </c>
      <c r="BI81" s="61">
        <f t="shared" si="26"/>
        <v>-24489196</v>
      </c>
      <c r="BJ81" s="154">
        <f t="shared" si="27"/>
        <v>-40.517315101983002</v>
      </c>
      <c r="BK81" s="154">
        <f t="shared" si="28"/>
        <v>-45.163850116911199</v>
      </c>
      <c r="BL81" s="69">
        <f t="shared" ref="BL81:BL84" si="50">AL81-R81</f>
        <v>-0.99622236595357005</v>
      </c>
    </row>
    <row r="82" spans="1:64" x14ac:dyDescent="0.25">
      <c r="A82" s="245"/>
      <c r="B82" s="248"/>
      <c r="C82" s="27" t="s">
        <v>47</v>
      </c>
      <c r="D82" s="183"/>
      <c r="E82" s="34">
        <v>1821546</v>
      </c>
      <c r="F82" s="61">
        <v>452439928</v>
      </c>
      <c r="G82" s="61">
        <v>40851048</v>
      </c>
      <c r="H82" s="61">
        <v>411573240</v>
      </c>
      <c r="I82" s="61">
        <v>11282708</v>
      </c>
      <c r="J82" s="61">
        <v>29880788</v>
      </c>
      <c r="K82" s="61">
        <v>47752972</v>
      </c>
      <c r="L82" s="61">
        <v>63657160</v>
      </c>
      <c r="M82" s="61">
        <v>6295124</v>
      </c>
      <c r="N82" s="61">
        <v>19040912</v>
      </c>
      <c r="O82" s="61">
        <v>27876956</v>
      </c>
      <c r="P82" s="62">
        <v>45.709398828069297</v>
      </c>
      <c r="Q82" s="62">
        <v>50.240206011410301</v>
      </c>
      <c r="R82" s="63">
        <v>0.99813962873726003</v>
      </c>
      <c r="S82" s="35">
        <v>97.556700000000006</v>
      </c>
      <c r="T82" s="35">
        <v>83.349900000000005</v>
      </c>
      <c r="U82" s="35">
        <v>4.11334</v>
      </c>
      <c r="V82" s="35">
        <v>1.5246900000000001</v>
      </c>
      <c r="W82" s="35">
        <v>90.667900000000003</v>
      </c>
      <c r="X82" s="36">
        <v>79.563400000000001</v>
      </c>
      <c r="Y82" s="34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3"/>
      <c r="AK82" s="63"/>
      <c r="AL82" s="63"/>
      <c r="AM82" s="35"/>
      <c r="AN82" s="35"/>
      <c r="AO82" s="35"/>
      <c r="AP82" s="35"/>
      <c r="AQ82" s="35"/>
      <c r="AR82" s="36"/>
      <c r="AS82" s="47"/>
      <c r="AT82" s="94"/>
      <c r="AU82" s="95"/>
      <c r="AV82" s="47"/>
      <c r="AW82" s="94"/>
      <c r="AX82" s="95"/>
      <c r="AY82" s="34">
        <f t="shared" si="46"/>
        <v>-1821546</v>
      </c>
      <c r="AZ82" s="61">
        <f t="shared" si="42"/>
        <v>-452439928</v>
      </c>
      <c r="BA82" s="61">
        <f t="shared" si="18"/>
        <v>-40851048</v>
      </c>
      <c r="BB82" s="61">
        <f t="shared" si="19"/>
        <v>-411573240</v>
      </c>
      <c r="BC82" s="61">
        <f t="shared" si="20"/>
        <v>-11282708</v>
      </c>
      <c r="BD82" s="61">
        <f t="shared" si="21"/>
        <v>-29880788</v>
      </c>
      <c r="BE82" s="61">
        <f t="shared" si="22"/>
        <v>-47752972</v>
      </c>
      <c r="BF82" s="61">
        <f t="shared" si="23"/>
        <v>-63657160</v>
      </c>
      <c r="BG82" s="61">
        <f t="shared" si="24"/>
        <v>-6295124</v>
      </c>
      <c r="BH82" s="61">
        <f t="shared" si="25"/>
        <v>-19040912</v>
      </c>
      <c r="BI82" s="61">
        <f t="shared" si="26"/>
        <v>-27876956</v>
      </c>
      <c r="BJ82" s="154">
        <f t="shared" si="27"/>
        <v>-45.709398828069297</v>
      </c>
      <c r="BK82" s="154">
        <f t="shared" si="28"/>
        <v>-50.240206011410301</v>
      </c>
      <c r="BL82" s="69">
        <f t="shared" si="50"/>
        <v>-0.99813962873726003</v>
      </c>
    </row>
    <row r="83" spans="1:64" x14ac:dyDescent="0.25">
      <c r="A83" s="245"/>
      <c r="B83" s="248"/>
      <c r="C83" s="27" t="s">
        <v>48</v>
      </c>
      <c r="D83" s="183"/>
      <c r="E83" s="34">
        <v>1821546</v>
      </c>
      <c r="F83" s="61">
        <v>568994232</v>
      </c>
      <c r="G83" s="61">
        <v>40851048</v>
      </c>
      <c r="H83" s="61">
        <v>528127656</v>
      </c>
      <c r="I83" s="61">
        <v>14021892</v>
      </c>
      <c r="J83" s="61">
        <v>39973568</v>
      </c>
      <c r="K83" s="61">
        <v>64042860</v>
      </c>
      <c r="L83" s="61">
        <v>85901052</v>
      </c>
      <c r="M83" s="61">
        <v>7105548</v>
      </c>
      <c r="N83" s="61">
        <v>21570176</v>
      </c>
      <c r="O83" s="61">
        <v>31448732</v>
      </c>
      <c r="P83" s="62">
        <v>49.275692706199202</v>
      </c>
      <c r="Q83" s="62">
        <v>53.604051555377801</v>
      </c>
      <c r="R83" s="63">
        <v>0.99865814949610998</v>
      </c>
      <c r="S83" s="35">
        <v>101.288</v>
      </c>
      <c r="T83" s="35">
        <v>92.720200000000006</v>
      </c>
      <c r="U83" s="35">
        <v>4.2129399999999997</v>
      </c>
      <c r="V83" s="35">
        <v>1.57054</v>
      </c>
      <c r="W83" s="35">
        <v>94.081000000000003</v>
      </c>
      <c r="X83" s="36">
        <v>88.255799999999994</v>
      </c>
      <c r="Y83" s="34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3"/>
      <c r="AK83" s="63"/>
      <c r="AL83" s="63"/>
      <c r="AM83" s="35"/>
      <c r="AN83" s="35"/>
      <c r="AO83" s="35"/>
      <c r="AP83" s="35"/>
      <c r="AQ83" s="35"/>
      <c r="AR83" s="36"/>
      <c r="AS83" s="47"/>
      <c r="AT83" s="94"/>
      <c r="AU83" s="95"/>
      <c r="AV83" s="47"/>
      <c r="AW83" s="94"/>
      <c r="AX83" s="95"/>
      <c r="AY83" s="34">
        <f t="shared" si="46"/>
        <v>-1821546</v>
      </c>
      <c r="AZ83" s="61">
        <f t="shared" si="42"/>
        <v>-568994232</v>
      </c>
      <c r="BA83" s="61">
        <f t="shared" si="18"/>
        <v>-40851048</v>
      </c>
      <c r="BB83" s="61">
        <f t="shared" si="19"/>
        <v>-528127656</v>
      </c>
      <c r="BC83" s="61">
        <f t="shared" si="20"/>
        <v>-14021892</v>
      </c>
      <c r="BD83" s="61">
        <f t="shared" si="21"/>
        <v>-39973568</v>
      </c>
      <c r="BE83" s="61">
        <f t="shared" si="22"/>
        <v>-64042860</v>
      </c>
      <c r="BF83" s="61">
        <f t="shared" si="23"/>
        <v>-85901052</v>
      </c>
      <c r="BG83" s="61">
        <f t="shared" si="24"/>
        <v>-7105548</v>
      </c>
      <c r="BH83" s="61">
        <f t="shared" si="25"/>
        <v>-21570176</v>
      </c>
      <c r="BI83" s="61">
        <f t="shared" si="26"/>
        <v>-31448732</v>
      </c>
      <c r="BJ83" s="154">
        <f t="shared" si="27"/>
        <v>-49.275692706199202</v>
      </c>
      <c r="BK83" s="154">
        <f t="shared" si="28"/>
        <v>-53.604051555377801</v>
      </c>
      <c r="BL83" s="69">
        <f t="shared" si="50"/>
        <v>-0.99865814949610998</v>
      </c>
    </row>
    <row r="84" spans="1:64" ht="15.75" thickBot="1" x14ac:dyDescent="0.3">
      <c r="A84" s="245"/>
      <c r="B84" s="249"/>
      <c r="C84" s="28" t="s">
        <v>49</v>
      </c>
      <c r="D84" s="44"/>
      <c r="E84" s="37">
        <v>1821546</v>
      </c>
      <c r="F84" s="64">
        <v>671341472</v>
      </c>
      <c r="G84" s="64">
        <v>40851048</v>
      </c>
      <c r="H84" s="64">
        <v>630474896</v>
      </c>
      <c r="I84" s="64">
        <v>16744128</v>
      </c>
      <c r="J84" s="64">
        <v>47665128</v>
      </c>
      <c r="K84" s="64">
        <v>77353296</v>
      </c>
      <c r="L84" s="64">
        <v>106044336</v>
      </c>
      <c r="M84" s="64">
        <v>7987564</v>
      </c>
      <c r="N84" s="64">
        <v>24272960</v>
      </c>
      <c r="O84" s="64">
        <v>35170036</v>
      </c>
      <c r="P84" s="65">
        <v>51.1416294803658</v>
      </c>
      <c r="Q84" s="65">
        <v>55.294245108930802</v>
      </c>
      <c r="R84" s="66">
        <v>0.99884844292307995</v>
      </c>
      <c r="S84" s="22">
        <v>102.809</v>
      </c>
      <c r="T84" s="22">
        <v>95.558999999999997</v>
      </c>
      <c r="U84" s="22">
        <v>4.8037700000000001</v>
      </c>
      <c r="V84" s="22">
        <v>1.5804499999999999</v>
      </c>
      <c r="W84" s="22">
        <v>95.106700000000004</v>
      </c>
      <c r="X84" s="38">
        <v>90.656000000000006</v>
      </c>
      <c r="Y84" s="37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6"/>
      <c r="AK84" s="66"/>
      <c r="AL84" s="66"/>
      <c r="AM84" s="22"/>
      <c r="AN84" s="22"/>
      <c r="AO84" s="22"/>
      <c r="AP84" s="22"/>
      <c r="AQ84" s="22"/>
      <c r="AR84" s="38"/>
      <c r="AS84" s="48"/>
      <c r="AT84" s="94"/>
      <c r="AU84" s="95"/>
      <c r="AV84" s="48"/>
      <c r="AW84" s="94"/>
      <c r="AX84" s="95"/>
      <c r="AY84" s="37">
        <f t="shared" si="46"/>
        <v>-1821546</v>
      </c>
      <c r="AZ84" s="64">
        <f t="shared" si="42"/>
        <v>-671341472</v>
      </c>
      <c r="BA84" s="64">
        <f t="shared" si="18"/>
        <v>-40851048</v>
      </c>
      <c r="BB84" s="64">
        <f t="shared" si="19"/>
        <v>-630474896</v>
      </c>
      <c r="BC84" s="64">
        <f t="shared" si="20"/>
        <v>-16744128</v>
      </c>
      <c r="BD84" s="64">
        <f t="shared" si="21"/>
        <v>-47665128</v>
      </c>
      <c r="BE84" s="64">
        <f t="shared" si="22"/>
        <v>-77353296</v>
      </c>
      <c r="BF84" s="64">
        <f t="shared" si="23"/>
        <v>-106044336</v>
      </c>
      <c r="BG84" s="64">
        <f t="shared" si="24"/>
        <v>-7987564</v>
      </c>
      <c r="BH84" s="64">
        <f t="shared" si="25"/>
        <v>-24272960</v>
      </c>
      <c r="BI84" s="64">
        <f t="shared" si="26"/>
        <v>-35170036</v>
      </c>
      <c r="BJ84" s="70">
        <f t="shared" si="27"/>
        <v>-51.1416294803658</v>
      </c>
      <c r="BK84" s="70">
        <f t="shared" si="28"/>
        <v>-55.294245108930802</v>
      </c>
      <c r="BL84" s="71">
        <f t="shared" si="50"/>
        <v>-0.99884844292307995</v>
      </c>
    </row>
    <row r="85" spans="1:64" x14ac:dyDescent="0.25">
      <c r="A85" s="245"/>
      <c r="B85" s="247" t="s">
        <v>1316</v>
      </c>
      <c r="C85" s="26" t="s">
        <v>45</v>
      </c>
      <c r="D85" s="43"/>
      <c r="E85" s="32">
        <v>1650556</v>
      </c>
      <c r="F85" s="58">
        <v>219062504</v>
      </c>
      <c r="G85" s="58">
        <v>33836392</v>
      </c>
      <c r="H85" s="58">
        <v>185210472</v>
      </c>
      <c r="I85" s="58">
        <v>4569328</v>
      </c>
      <c r="J85" s="58">
        <v>11490488</v>
      </c>
      <c r="K85" s="58">
        <v>17442944</v>
      </c>
      <c r="L85" s="58">
        <v>23014440</v>
      </c>
      <c r="M85" s="58">
        <v>4325212</v>
      </c>
      <c r="N85" s="58">
        <v>12402020</v>
      </c>
      <c r="O85" s="58">
        <v>19360804</v>
      </c>
      <c r="P85" s="59">
        <v>33.135019966595401</v>
      </c>
      <c r="Q85" s="59">
        <v>37.800851552408098</v>
      </c>
      <c r="R85" s="60">
        <v>0.986045517930491</v>
      </c>
      <c r="S85" s="21">
        <v>85.138499999999993</v>
      </c>
      <c r="T85" s="21">
        <v>78.569400000000002</v>
      </c>
      <c r="U85" s="21">
        <v>3.7423299999999999</v>
      </c>
      <c r="V85" s="21">
        <v>1.65696</v>
      </c>
      <c r="W85" s="21">
        <v>78.691800000000001</v>
      </c>
      <c r="X85" s="33">
        <v>75.269099999999995</v>
      </c>
      <c r="Y85" s="32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60"/>
      <c r="AK85" s="60"/>
      <c r="AL85" s="60"/>
      <c r="AM85" s="21"/>
      <c r="AN85" s="21"/>
      <c r="AO85" s="21"/>
      <c r="AP85" s="21"/>
      <c r="AQ85" s="21"/>
      <c r="AR85" s="33"/>
      <c r="AS85" s="171" t="str">
        <f ca="1">bdRateHermiteNew(INDIRECT("F85:F89"), INDIRECT("P85:P89"), INDIRECT("Z85:Z89"), INDIRECT("AJ85:AJ89"))</f>
        <v>No Test</v>
      </c>
      <c r="AT85" s="172" t="str">
        <f ca="1">bdRateHermiteNew(INDIRECT("F85:F89"), INDIRECT("Q85:Q89"), INDIRECT("Z85:Z89"), INDIRECT("AK85:AK89"))</f>
        <v>No Test</v>
      </c>
      <c r="AU85" s="173" t="str">
        <f ca="1">bdRateHermiteNew(INDIRECT("F85:F89"), INDIRECT("R85:R89"), INDIRECT("Z85:Z89"), INDIRECT("AL85:AL89"))</f>
        <v>No Test</v>
      </c>
      <c r="AV85" s="171" t="str">
        <f ca="1">bdRateHermiteNew(INDIRECT("H85:H89"), INDIRECT("P85:P89"), INDIRECT("AB85:AB89"), INDIRECT("AJ85:AJ89"))</f>
        <v>No Test</v>
      </c>
      <c r="AW85" s="172" t="str">
        <f ca="1">bdRateHermiteNew(INDIRECT("H85:H89"), INDIRECT("Q85:Q89"), INDIRECT("AB85:AB89"), INDIRECT("AK85:AK89"))</f>
        <v>No Test</v>
      </c>
      <c r="AX85" s="173" t="str">
        <f ca="1">bdRateHermiteNew(INDIRECT("H85:H89"), INDIRECT("R85:R89"), INDIRECT("AB85:AB89"), INDIRECT("AL85:AL89"))</f>
        <v>No Test</v>
      </c>
      <c r="AY85" s="32">
        <f t="shared" si="46"/>
        <v>-1650556</v>
      </c>
      <c r="AZ85" s="58">
        <f t="shared" ref="AZ85:AZ104" si="51">Z85-F85</f>
        <v>-219062504</v>
      </c>
      <c r="BA85" s="58">
        <f t="shared" ref="BA85:BA104" si="52">AA85-G85</f>
        <v>-33836392</v>
      </c>
      <c r="BB85" s="58">
        <f t="shared" ref="BB85:BB104" si="53">AB85-H85</f>
        <v>-185210472</v>
      </c>
      <c r="BC85" s="58">
        <f t="shared" ref="BC85:BC104" si="54">AC85-I85</f>
        <v>-4569328</v>
      </c>
      <c r="BD85" s="58">
        <f t="shared" ref="BD85:BD104" si="55">AD85-J85</f>
        <v>-11490488</v>
      </c>
      <c r="BE85" s="58">
        <f t="shared" ref="BE85:BE104" si="56">AE85-K85</f>
        <v>-17442944</v>
      </c>
      <c r="BF85" s="58">
        <f t="shared" ref="BF85:BF104" si="57">AF85-L85</f>
        <v>-23014440</v>
      </c>
      <c r="BG85" s="58">
        <f t="shared" ref="BG85:BG104" si="58">AG85-M85</f>
        <v>-4325212</v>
      </c>
      <c r="BH85" s="58">
        <f t="shared" ref="BH85:BH104" si="59">AH85-N85</f>
        <v>-12402020</v>
      </c>
      <c r="BI85" s="58">
        <f t="shared" ref="BI85:BI104" si="60">AI85-O85</f>
        <v>-19360804</v>
      </c>
      <c r="BJ85" s="67">
        <f t="shared" ref="BJ85:BJ104" si="61">AJ85-P85</f>
        <v>-33.135019966595401</v>
      </c>
      <c r="BK85" s="67">
        <f t="shared" ref="BK85:BK104" si="62">AK85-Q85</f>
        <v>-37.800851552408098</v>
      </c>
      <c r="BL85" s="68">
        <f>AL85-R85</f>
        <v>-0.986045517930491</v>
      </c>
    </row>
    <row r="86" spans="1:64" x14ac:dyDescent="0.25">
      <c r="A86" s="245"/>
      <c r="B86" s="248"/>
      <c r="C86" s="27" t="s">
        <v>46</v>
      </c>
      <c r="D86" s="183"/>
      <c r="E86" s="34">
        <v>1650556</v>
      </c>
      <c r="F86" s="61">
        <v>300842208</v>
      </c>
      <c r="G86" s="61">
        <v>33836392</v>
      </c>
      <c r="H86" s="61">
        <v>266990176</v>
      </c>
      <c r="I86" s="61">
        <v>6842420</v>
      </c>
      <c r="J86" s="61">
        <v>18289484</v>
      </c>
      <c r="K86" s="61">
        <v>28409540</v>
      </c>
      <c r="L86" s="61">
        <v>38251824</v>
      </c>
      <c r="M86" s="61">
        <v>5123036</v>
      </c>
      <c r="N86" s="61">
        <v>14630848</v>
      </c>
      <c r="O86" s="61">
        <v>21947936</v>
      </c>
      <c r="P86" s="62">
        <v>38.795221068689401</v>
      </c>
      <c r="Q86" s="62">
        <v>43.476012019740203</v>
      </c>
      <c r="R86" s="63">
        <v>0.99489938562815805</v>
      </c>
      <c r="S86" s="35">
        <v>88.858099999999993</v>
      </c>
      <c r="T86" s="35">
        <v>80.311099999999996</v>
      </c>
      <c r="U86" s="35">
        <v>3.7151399999999999</v>
      </c>
      <c r="V86" s="35">
        <v>1.62435</v>
      </c>
      <c r="W86" s="35">
        <v>82.292299999999997</v>
      </c>
      <c r="X86" s="36">
        <v>76.571899999999999</v>
      </c>
      <c r="Y86" s="34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3"/>
      <c r="AK86" s="63"/>
      <c r="AL86" s="63"/>
      <c r="AM86" s="35"/>
      <c r="AN86" s="35"/>
      <c r="AO86" s="35"/>
      <c r="AP86" s="35"/>
      <c r="AQ86" s="35"/>
      <c r="AR86" s="36"/>
      <c r="AS86" s="47"/>
      <c r="AT86" s="94"/>
      <c r="AU86" s="95"/>
      <c r="AV86" s="47"/>
      <c r="AW86" s="94"/>
      <c r="AX86" s="95"/>
      <c r="AY86" s="34">
        <f t="shared" si="46"/>
        <v>-1650556</v>
      </c>
      <c r="AZ86" s="61">
        <f t="shared" si="51"/>
        <v>-300842208</v>
      </c>
      <c r="BA86" s="61">
        <f t="shared" si="52"/>
        <v>-33836392</v>
      </c>
      <c r="BB86" s="61">
        <f t="shared" si="53"/>
        <v>-266990176</v>
      </c>
      <c r="BC86" s="61">
        <f t="shared" si="54"/>
        <v>-6842420</v>
      </c>
      <c r="BD86" s="61">
        <f t="shared" si="55"/>
        <v>-18289484</v>
      </c>
      <c r="BE86" s="61">
        <f t="shared" si="56"/>
        <v>-28409540</v>
      </c>
      <c r="BF86" s="61">
        <f t="shared" si="57"/>
        <v>-38251824</v>
      </c>
      <c r="BG86" s="61">
        <f t="shared" si="58"/>
        <v>-5123036</v>
      </c>
      <c r="BH86" s="61">
        <f t="shared" si="59"/>
        <v>-14630848</v>
      </c>
      <c r="BI86" s="61">
        <f t="shared" si="60"/>
        <v>-21947936</v>
      </c>
      <c r="BJ86" s="154">
        <f t="shared" si="61"/>
        <v>-38.795221068689401</v>
      </c>
      <c r="BK86" s="154">
        <f t="shared" si="62"/>
        <v>-43.476012019740203</v>
      </c>
      <c r="BL86" s="69">
        <f t="shared" ref="BL86:BL89" si="63">AL86-R86</f>
        <v>-0.99489938562815805</v>
      </c>
    </row>
    <row r="87" spans="1:64" x14ac:dyDescent="0.25">
      <c r="A87" s="245"/>
      <c r="B87" s="248"/>
      <c r="C87" s="27" t="s">
        <v>47</v>
      </c>
      <c r="D87" s="183"/>
      <c r="E87" s="34">
        <v>1650556</v>
      </c>
      <c r="F87" s="61">
        <v>398287416</v>
      </c>
      <c r="G87" s="61">
        <v>33836392</v>
      </c>
      <c r="H87" s="61">
        <v>364435384</v>
      </c>
      <c r="I87" s="61">
        <v>9167256</v>
      </c>
      <c r="J87" s="61">
        <v>26983648</v>
      </c>
      <c r="K87" s="61">
        <v>42194592</v>
      </c>
      <c r="L87" s="61">
        <v>56429140</v>
      </c>
      <c r="M87" s="61">
        <v>5767268</v>
      </c>
      <c r="N87" s="61">
        <v>16715296</v>
      </c>
      <c r="O87" s="61">
        <v>24960492</v>
      </c>
      <c r="P87" s="62">
        <v>43.361776854280897</v>
      </c>
      <c r="Q87" s="62">
        <v>47.951628566745001</v>
      </c>
      <c r="R87" s="63">
        <v>0.99745818621803295</v>
      </c>
      <c r="S87" s="35">
        <v>88.133600000000001</v>
      </c>
      <c r="T87" s="35">
        <v>82.183300000000003</v>
      </c>
      <c r="U87" s="35">
        <v>3.76281</v>
      </c>
      <c r="V87" s="35">
        <v>1.3984700000000001</v>
      </c>
      <c r="W87" s="35">
        <v>82.057599999999994</v>
      </c>
      <c r="X87" s="36">
        <v>78.307900000000004</v>
      </c>
      <c r="Y87" s="34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3"/>
      <c r="AK87" s="63"/>
      <c r="AL87" s="63"/>
      <c r="AM87" s="35"/>
      <c r="AN87" s="35"/>
      <c r="AO87" s="35"/>
      <c r="AP87" s="35"/>
      <c r="AQ87" s="35"/>
      <c r="AR87" s="36"/>
      <c r="AS87" s="47"/>
      <c r="AT87" s="94"/>
      <c r="AU87" s="95"/>
      <c r="AV87" s="47"/>
      <c r="AW87" s="94"/>
      <c r="AX87" s="95"/>
      <c r="AY87" s="34">
        <f t="shared" si="46"/>
        <v>-1650556</v>
      </c>
      <c r="AZ87" s="61">
        <f t="shared" si="51"/>
        <v>-398287416</v>
      </c>
      <c r="BA87" s="61">
        <f t="shared" si="52"/>
        <v>-33836392</v>
      </c>
      <c r="BB87" s="61">
        <f t="shared" si="53"/>
        <v>-364435384</v>
      </c>
      <c r="BC87" s="61">
        <f t="shared" si="54"/>
        <v>-9167256</v>
      </c>
      <c r="BD87" s="61">
        <f t="shared" si="55"/>
        <v>-26983648</v>
      </c>
      <c r="BE87" s="61">
        <f t="shared" si="56"/>
        <v>-42194592</v>
      </c>
      <c r="BF87" s="61">
        <f t="shared" si="57"/>
        <v>-56429140</v>
      </c>
      <c r="BG87" s="61">
        <f t="shared" si="58"/>
        <v>-5767268</v>
      </c>
      <c r="BH87" s="61">
        <f t="shared" si="59"/>
        <v>-16715296</v>
      </c>
      <c r="BI87" s="61">
        <f t="shared" si="60"/>
        <v>-24960492</v>
      </c>
      <c r="BJ87" s="154">
        <f t="shared" si="61"/>
        <v>-43.361776854280897</v>
      </c>
      <c r="BK87" s="154">
        <f t="shared" si="62"/>
        <v>-47.951628566745001</v>
      </c>
      <c r="BL87" s="69">
        <f t="shared" si="63"/>
        <v>-0.99745818621803295</v>
      </c>
    </row>
    <row r="88" spans="1:64" x14ac:dyDescent="0.25">
      <c r="A88" s="245"/>
      <c r="B88" s="248"/>
      <c r="C88" s="27" t="s">
        <v>48</v>
      </c>
      <c r="D88" s="183"/>
      <c r="E88" s="34">
        <v>1650556</v>
      </c>
      <c r="F88" s="61">
        <v>504900904</v>
      </c>
      <c r="G88" s="61">
        <v>33836392</v>
      </c>
      <c r="H88" s="61">
        <v>471048984</v>
      </c>
      <c r="I88" s="61">
        <v>11515892</v>
      </c>
      <c r="J88" s="61">
        <v>36389296</v>
      </c>
      <c r="K88" s="61">
        <v>57103076</v>
      </c>
      <c r="L88" s="61">
        <v>76924232</v>
      </c>
      <c r="M88" s="61">
        <v>6506892</v>
      </c>
      <c r="N88" s="61">
        <v>18927572</v>
      </c>
      <c r="O88" s="61">
        <v>28157532</v>
      </c>
      <c r="P88" s="62">
        <v>46.327903073601</v>
      </c>
      <c r="Q88" s="62">
        <v>50.810776629439601</v>
      </c>
      <c r="R88" s="63">
        <v>0.99816557246558302</v>
      </c>
      <c r="S88" s="35">
        <v>91.941100000000006</v>
      </c>
      <c r="T88" s="35">
        <v>79.782499999999999</v>
      </c>
      <c r="U88" s="35">
        <v>4.4257999999999997</v>
      </c>
      <c r="V88" s="35">
        <v>1.36297</v>
      </c>
      <c r="W88" s="35">
        <v>83.591099999999997</v>
      </c>
      <c r="X88" s="36">
        <v>75.821899999999999</v>
      </c>
      <c r="Y88" s="34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3"/>
      <c r="AK88" s="63"/>
      <c r="AL88" s="63"/>
      <c r="AM88" s="35"/>
      <c r="AN88" s="35"/>
      <c r="AO88" s="35"/>
      <c r="AP88" s="35"/>
      <c r="AQ88" s="35"/>
      <c r="AR88" s="36"/>
      <c r="AS88" s="47"/>
      <c r="AT88" s="94"/>
      <c r="AU88" s="95"/>
      <c r="AV88" s="47"/>
      <c r="AW88" s="94"/>
      <c r="AX88" s="95"/>
      <c r="AY88" s="34">
        <f t="shared" si="46"/>
        <v>-1650556</v>
      </c>
      <c r="AZ88" s="61">
        <f t="shared" si="51"/>
        <v>-504900904</v>
      </c>
      <c r="BA88" s="61">
        <f t="shared" si="52"/>
        <v>-33836392</v>
      </c>
      <c r="BB88" s="61">
        <f t="shared" si="53"/>
        <v>-471048984</v>
      </c>
      <c r="BC88" s="61">
        <f t="shared" si="54"/>
        <v>-11515892</v>
      </c>
      <c r="BD88" s="61">
        <f t="shared" si="55"/>
        <v>-36389296</v>
      </c>
      <c r="BE88" s="61">
        <f t="shared" si="56"/>
        <v>-57103076</v>
      </c>
      <c r="BF88" s="61">
        <f t="shared" si="57"/>
        <v>-76924232</v>
      </c>
      <c r="BG88" s="61">
        <f t="shared" si="58"/>
        <v>-6506892</v>
      </c>
      <c r="BH88" s="61">
        <f t="shared" si="59"/>
        <v>-18927572</v>
      </c>
      <c r="BI88" s="61">
        <f t="shared" si="60"/>
        <v>-28157532</v>
      </c>
      <c r="BJ88" s="154">
        <f t="shared" si="61"/>
        <v>-46.327903073601</v>
      </c>
      <c r="BK88" s="154">
        <f t="shared" si="62"/>
        <v>-50.810776629439601</v>
      </c>
      <c r="BL88" s="69">
        <f t="shared" si="63"/>
        <v>-0.99816557246558302</v>
      </c>
    </row>
    <row r="89" spans="1:64" ht="15.75" thickBot="1" x14ac:dyDescent="0.3">
      <c r="A89" s="245"/>
      <c r="B89" s="249"/>
      <c r="C89" s="28" t="s">
        <v>49</v>
      </c>
      <c r="D89" s="44"/>
      <c r="E89" s="37">
        <v>1650556</v>
      </c>
      <c r="F89" s="64">
        <v>599748088</v>
      </c>
      <c r="G89" s="64">
        <v>33836392</v>
      </c>
      <c r="H89" s="64">
        <v>565896168</v>
      </c>
      <c r="I89" s="64">
        <v>14022712</v>
      </c>
      <c r="J89" s="64">
        <v>43453932</v>
      </c>
      <c r="K89" s="64">
        <v>69396440</v>
      </c>
      <c r="L89" s="64">
        <v>95859148</v>
      </c>
      <c r="M89" s="64">
        <v>7307016</v>
      </c>
      <c r="N89" s="64">
        <v>21324172</v>
      </c>
      <c r="O89" s="64">
        <v>31584664</v>
      </c>
      <c r="P89" s="65">
        <v>47.784731128645603</v>
      </c>
      <c r="Q89" s="65">
        <v>52.148910431597699</v>
      </c>
      <c r="R89" s="66">
        <v>0.99837644235768297</v>
      </c>
      <c r="S89" s="22">
        <v>95.865600000000001</v>
      </c>
      <c r="T89" s="22">
        <v>86.947800000000001</v>
      </c>
      <c r="U89" s="22">
        <v>3.7511800000000002</v>
      </c>
      <c r="V89" s="22">
        <v>1.37314</v>
      </c>
      <c r="W89" s="22">
        <v>89.511600000000001</v>
      </c>
      <c r="X89" s="38">
        <v>82.774799999999999</v>
      </c>
      <c r="Y89" s="37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6"/>
      <c r="AK89" s="66"/>
      <c r="AL89" s="66"/>
      <c r="AM89" s="22"/>
      <c r="AN89" s="22"/>
      <c r="AO89" s="22"/>
      <c r="AP89" s="22"/>
      <c r="AQ89" s="22"/>
      <c r="AR89" s="38"/>
      <c r="AS89" s="48"/>
      <c r="AT89" s="94"/>
      <c r="AU89" s="95"/>
      <c r="AV89" s="48"/>
      <c r="AW89" s="94"/>
      <c r="AX89" s="95"/>
      <c r="AY89" s="37">
        <f t="shared" si="46"/>
        <v>-1650556</v>
      </c>
      <c r="AZ89" s="64">
        <f t="shared" si="51"/>
        <v>-599748088</v>
      </c>
      <c r="BA89" s="64">
        <f t="shared" si="52"/>
        <v>-33836392</v>
      </c>
      <c r="BB89" s="64">
        <f t="shared" si="53"/>
        <v>-565896168</v>
      </c>
      <c r="BC89" s="64">
        <f t="shared" si="54"/>
        <v>-14022712</v>
      </c>
      <c r="BD89" s="64">
        <f t="shared" si="55"/>
        <v>-43453932</v>
      </c>
      <c r="BE89" s="64">
        <f t="shared" si="56"/>
        <v>-69396440</v>
      </c>
      <c r="BF89" s="64">
        <f t="shared" si="57"/>
        <v>-95859148</v>
      </c>
      <c r="BG89" s="64">
        <f t="shared" si="58"/>
        <v>-7307016</v>
      </c>
      <c r="BH89" s="64">
        <f t="shared" si="59"/>
        <v>-21324172</v>
      </c>
      <c r="BI89" s="64">
        <f t="shared" si="60"/>
        <v>-31584664</v>
      </c>
      <c r="BJ89" s="70">
        <f t="shared" si="61"/>
        <v>-47.784731128645603</v>
      </c>
      <c r="BK89" s="70">
        <f t="shared" si="62"/>
        <v>-52.148910431597699</v>
      </c>
      <c r="BL89" s="71">
        <f t="shared" si="63"/>
        <v>-0.99837644235768297</v>
      </c>
    </row>
    <row r="90" spans="1:64" x14ac:dyDescent="0.25">
      <c r="A90" s="245"/>
      <c r="B90" s="247" t="s">
        <v>1317</v>
      </c>
      <c r="C90" s="26" t="s">
        <v>45</v>
      </c>
      <c r="D90" s="43"/>
      <c r="E90" s="32">
        <v>2126709</v>
      </c>
      <c r="F90" s="58">
        <v>281752360</v>
      </c>
      <c r="G90" s="58">
        <v>43338800</v>
      </c>
      <c r="H90" s="58">
        <v>238386768</v>
      </c>
      <c r="I90" s="58">
        <v>3169386</v>
      </c>
      <c r="J90" s="58">
        <v>7112890</v>
      </c>
      <c r="K90" s="58">
        <v>11072956</v>
      </c>
      <c r="L90" s="58">
        <v>15084402</v>
      </c>
      <c r="M90" s="58">
        <v>2745196</v>
      </c>
      <c r="N90" s="58">
        <v>8331276</v>
      </c>
      <c r="O90" s="58">
        <v>12080586</v>
      </c>
      <c r="P90" s="59">
        <v>34.500834337566602</v>
      </c>
      <c r="Q90" s="59">
        <v>39.210469680509497</v>
      </c>
      <c r="R90" s="60">
        <v>0.98868470271274</v>
      </c>
      <c r="S90" s="21">
        <v>94.757499999999993</v>
      </c>
      <c r="T90" s="21">
        <v>98.971500000000006</v>
      </c>
      <c r="U90" s="21">
        <v>4.3049099999999996</v>
      </c>
      <c r="V90" s="21">
        <v>1.7564500000000001</v>
      </c>
      <c r="W90" s="21">
        <v>86.999099999999999</v>
      </c>
      <c r="X90" s="33">
        <v>94.953100000000006</v>
      </c>
      <c r="Y90" s="32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60"/>
      <c r="AK90" s="60"/>
      <c r="AL90" s="60"/>
      <c r="AM90" s="21"/>
      <c r="AN90" s="21"/>
      <c r="AO90" s="21"/>
      <c r="AP90" s="21"/>
      <c r="AQ90" s="21"/>
      <c r="AR90" s="33"/>
      <c r="AS90" s="171" t="str">
        <f ca="1">bdRateHermiteNew(INDIRECT("F90:F94"), INDIRECT("P90:P94"), INDIRECT("Z90:Z94"), INDIRECT("AJ90:AJ94"))</f>
        <v>No Test</v>
      </c>
      <c r="AT90" s="172" t="str">
        <f ca="1">bdRateHermiteNew(INDIRECT("F90:F94"), INDIRECT("Q90:Q94"), INDIRECT("Z90:Z94"), INDIRECT("AK90:AK94"))</f>
        <v>No Test</v>
      </c>
      <c r="AU90" s="173" t="str">
        <f ca="1">bdRateHermiteNew(INDIRECT("F90:F94"), INDIRECT("R90:R94"), INDIRECT("Z90:Z94"), INDIRECT("AL90:AL94"))</f>
        <v>No Test</v>
      </c>
      <c r="AV90" s="171" t="str">
        <f ca="1">bdRateHermiteNew(INDIRECT("H90:H94"), INDIRECT("P90:P94"), INDIRECT("AB90:AB94"), INDIRECT("AJ90:AJ94"))</f>
        <v>No Test</v>
      </c>
      <c r="AW90" s="172" t="str">
        <f ca="1">bdRateHermiteNew(INDIRECT("H90:H94"), INDIRECT("Q90:Q94"), INDIRECT("AB90:AB94"), INDIRECT("AK90:AK94"))</f>
        <v>No Test</v>
      </c>
      <c r="AX90" s="173" t="str">
        <f ca="1">bdRateHermiteNew(INDIRECT("H90:H94"), INDIRECT("R90:R94"), INDIRECT("AB90:AB94"), INDIRECT("AL90:AL94"))</f>
        <v>No Test</v>
      </c>
      <c r="AY90" s="32">
        <f t="shared" si="46"/>
        <v>-2126709</v>
      </c>
      <c r="AZ90" s="58">
        <f t="shared" si="51"/>
        <v>-281752360</v>
      </c>
      <c r="BA90" s="58">
        <f t="shared" si="52"/>
        <v>-43338800</v>
      </c>
      <c r="BB90" s="58">
        <f t="shared" si="53"/>
        <v>-238386768</v>
      </c>
      <c r="BC90" s="58">
        <f t="shared" si="54"/>
        <v>-3169386</v>
      </c>
      <c r="BD90" s="58">
        <f t="shared" si="55"/>
        <v>-7112890</v>
      </c>
      <c r="BE90" s="58">
        <f t="shared" si="56"/>
        <v>-11072956</v>
      </c>
      <c r="BF90" s="58">
        <f t="shared" si="57"/>
        <v>-15084402</v>
      </c>
      <c r="BG90" s="58">
        <f t="shared" si="58"/>
        <v>-2745196</v>
      </c>
      <c r="BH90" s="58">
        <f t="shared" si="59"/>
        <v>-8331276</v>
      </c>
      <c r="BI90" s="58">
        <f t="shared" si="60"/>
        <v>-12080586</v>
      </c>
      <c r="BJ90" s="67">
        <f t="shared" si="61"/>
        <v>-34.500834337566602</v>
      </c>
      <c r="BK90" s="67">
        <f t="shared" si="62"/>
        <v>-39.210469680509497</v>
      </c>
      <c r="BL90" s="68">
        <f>AL90-R90</f>
        <v>-0.98868470271274</v>
      </c>
    </row>
    <row r="91" spans="1:64" x14ac:dyDescent="0.25">
      <c r="A91" s="245"/>
      <c r="B91" s="248"/>
      <c r="C91" s="27" t="s">
        <v>46</v>
      </c>
      <c r="D91" s="183"/>
      <c r="E91" s="34">
        <v>2126709</v>
      </c>
      <c r="F91" s="61">
        <v>388105704</v>
      </c>
      <c r="G91" s="61">
        <v>43338800</v>
      </c>
      <c r="H91" s="61">
        <v>344740112</v>
      </c>
      <c r="I91" s="61">
        <v>4733012</v>
      </c>
      <c r="J91" s="61">
        <v>11457320</v>
      </c>
      <c r="K91" s="61">
        <v>18169072</v>
      </c>
      <c r="L91" s="61">
        <v>24954560</v>
      </c>
      <c r="M91" s="61">
        <v>3249142</v>
      </c>
      <c r="N91" s="61">
        <v>9706298</v>
      </c>
      <c r="O91" s="61">
        <v>13915624</v>
      </c>
      <c r="P91" s="62">
        <v>40.440868843394099</v>
      </c>
      <c r="Q91" s="62">
        <v>45.106149253384899</v>
      </c>
      <c r="R91" s="63">
        <v>0.99591083586262996</v>
      </c>
      <c r="S91" s="35">
        <v>109.55500000000001</v>
      </c>
      <c r="T91" s="35">
        <v>96.73</v>
      </c>
      <c r="U91" s="35">
        <v>4.7392799999999999</v>
      </c>
      <c r="V91" s="35">
        <v>1.70947</v>
      </c>
      <c r="W91" s="35">
        <v>101.27800000000001</v>
      </c>
      <c r="X91" s="36">
        <v>92.337900000000005</v>
      </c>
      <c r="Y91" s="34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3"/>
      <c r="AK91" s="63"/>
      <c r="AL91" s="63"/>
      <c r="AM91" s="35"/>
      <c r="AN91" s="35"/>
      <c r="AO91" s="35"/>
      <c r="AP91" s="35"/>
      <c r="AQ91" s="35"/>
      <c r="AR91" s="36"/>
      <c r="AS91" s="47"/>
      <c r="AT91" s="94"/>
      <c r="AU91" s="95"/>
      <c r="AV91" s="47"/>
      <c r="AW91" s="94"/>
      <c r="AX91" s="95"/>
      <c r="AY91" s="34">
        <f t="shared" si="46"/>
        <v>-2126709</v>
      </c>
      <c r="AZ91" s="61">
        <f t="shared" si="51"/>
        <v>-388105704</v>
      </c>
      <c r="BA91" s="61">
        <f t="shared" si="52"/>
        <v>-43338800</v>
      </c>
      <c r="BB91" s="61">
        <f t="shared" si="53"/>
        <v>-344740112</v>
      </c>
      <c r="BC91" s="61">
        <f t="shared" si="54"/>
        <v>-4733012</v>
      </c>
      <c r="BD91" s="61">
        <f t="shared" si="55"/>
        <v>-11457320</v>
      </c>
      <c r="BE91" s="61">
        <f t="shared" si="56"/>
        <v>-18169072</v>
      </c>
      <c r="BF91" s="61">
        <f t="shared" si="57"/>
        <v>-24954560</v>
      </c>
      <c r="BG91" s="61">
        <f t="shared" si="58"/>
        <v>-3249142</v>
      </c>
      <c r="BH91" s="61">
        <f t="shared" si="59"/>
        <v>-9706298</v>
      </c>
      <c r="BI91" s="61">
        <f t="shared" si="60"/>
        <v>-13915624</v>
      </c>
      <c r="BJ91" s="154">
        <f t="shared" si="61"/>
        <v>-40.440868843394099</v>
      </c>
      <c r="BK91" s="154">
        <f t="shared" si="62"/>
        <v>-45.106149253384899</v>
      </c>
      <c r="BL91" s="69">
        <f t="shared" ref="BL91:BL94" si="64">AL91-R91</f>
        <v>-0.99591083586262996</v>
      </c>
    </row>
    <row r="92" spans="1:64" x14ac:dyDescent="0.25">
      <c r="A92" s="245"/>
      <c r="B92" s="248"/>
      <c r="C92" s="27" t="s">
        <v>47</v>
      </c>
      <c r="D92" s="183"/>
      <c r="E92" s="34">
        <v>2126709</v>
      </c>
      <c r="F92" s="61">
        <v>512999128</v>
      </c>
      <c r="G92" s="61">
        <v>43338800</v>
      </c>
      <c r="H92" s="61">
        <v>469633536</v>
      </c>
      <c r="I92" s="61">
        <v>6367230</v>
      </c>
      <c r="J92" s="61">
        <v>16927024</v>
      </c>
      <c r="K92" s="61">
        <v>26858408</v>
      </c>
      <c r="L92" s="61">
        <v>36615004</v>
      </c>
      <c r="M92" s="61">
        <v>3641354</v>
      </c>
      <c r="N92" s="61">
        <v>11138842</v>
      </c>
      <c r="O92" s="61">
        <v>15860522</v>
      </c>
      <c r="P92" s="62">
        <v>45.471176345109797</v>
      </c>
      <c r="Q92" s="62">
        <v>50.019581264615901</v>
      </c>
      <c r="R92" s="63">
        <v>0.99799698678172999</v>
      </c>
      <c r="S92" s="35">
        <v>112.748</v>
      </c>
      <c r="T92" s="35">
        <v>98.390600000000006</v>
      </c>
      <c r="U92" s="35">
        <v>4.7808299999999999</v>
      </c>
      <c r="V92" s="35">
        <v>1.67143</v>
      </c>
      <c r="W92" s="35">
        <v>104.14</v>
      </c>
      <c r="X92" s="36">
        <v>93.702200000000005</v>
      </c>
      <c r="Y92" s="34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3"/>
      <c r="AK92" s="63"/>
      <c r="AL92" s="63"/>
      <c r="AM92" s="35"/>
      <c r="AN92" s="35"/>
      <c r="AO92" s="35"/>
      <c r="AP92" s="35"/>
      <c r="AQ92" s="35"/>
      <c r="AR92" s="36"/>
      <c r="AS92" s="47"/>
      <c r="AT92" s="94"/>
      <c r="AU92" s="95"/>
      <c r="AV92" s="47"/>
      <c r="AW92" s="94"/>
      <c r="AX92" s="95"/>
      <c r="AY92" s="34">
        <f t="shared" si="46"/>
        <v>-2126709</v>
      </c>
      <c r="AZ92" s="61">
        <f t="shared" si="51"/>
        <v>-512999128</v>
      </c>
      <c r="BA92" s="61">
        <f t="shared" si="52"/>
        <v>-43338800</v>
      </c>
      <c r="BB92" s="61">
        <f t="shared" si="53"/>
        <v>-469633536</v>
      </c>
      <c r="BC92" s="61">
        <f t="shared" si="54"/>
        <v>-6367230</v>
      </c>
      <c r="BD92" s="61">
        <f t="shared" si="55"/>
        <v>-16927024</v>
      </c>
      <c r="BE92" s="61">
        <f t="shared" si="56"/>
        <v>-26858408</v>
      </c>
      <c r="BF92" s="61">
        <f t="shared" si="57"/>
        <v>-36615004</v>
      </c>
      <c r="BG92" s="61">
        <f t="shared" si="58"/>
        <v>-3641354</v>
      </c>
      <c r="BH92" s="61">
        <f t="shared" si="59"/>
        <v>-11138842</v>
      </c>
      <c r="BI92" s="61">
        <f t="shared" si="60"/>
        <v>-15860522</v>
      </c>
      <c r="BJ92" s="154">
        <f t="shared" si="61"/>
        <v>-45.471176345109797</v>
      </c>
      <c r="BK92" s="154">
        <f t="shared" si="62"/>
        <v>-50.019581264615901</v>
      </c>
      <c r="BL92" s="69">
        <f t="shared" si="64"/>
        <v>-0.99799698678172999</v>
      </c>
    </row>
    <row r="93" spans="1:64" x14ac:dyDescent="0.25">
      <c r="A93" s="245"/>
      <c r="B93" s="248"/>
      <c r="C93" s="27" t="s">
        <v>48</v>
      </c>
      <c r="D93" s="183"/>
      <c r="E93" s="34">
        <v>2126709</v>
      </c>
      <c r="F93" s="61">
        <v>648658248</v>
      </c>
      <c r="G93" s="61">
        <v>43338800</v>
      </c>
      <c r="H93" s="61">
        <v>605292768</v>
      </c>
      <c r="I93" s="61">
        <v>8005140</v>
      </c>
      <c r="J93" s="61">
        <v>22777170</v>
      </c>
      <c r="K93" s="61">
        <v>36302238</v>
      </c>
      <c r="L93" s="61">
        <v>49588392</v>
      </c>
      <c r="M93" s="61">
        <v>4117596</v>
      </c>
      <c r="N93" s="61">
        <v>12627376</v>
      </c>
      <c r="O93" s="61">
        <v>17905280</v>
      </c>
      <c r="P93" s="62">
        <v>48.999439032680598</v>
      </c>
      <c r="Q93" s="62">
        <v>53.344911583508001</v>
      </c>
      <c r="R93" s="63">
        <v>0.99856602648174997</v>
      </c>
      <c r="S93" s="35">
        <v>104.212</v>
      </c>
      <c r="T93" s="35">
        <v>107.926</v>
      </c>
      <c r="U93" s="35">
        <v>4.3772599999999997</v>
      </c>
      <c r="V93" s="35">
        <v>1.75417</v>
      </c>
      <c r="W93" s="35">
        <v>96.312799999999996</v>
      </c>
      <c r="X93" s="36">
        <v>102.637</v>
      </c>
      <c r="Y93" s="34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3"/>
      <c r="AK93" s="63"/>
      <c r="AL93" s="63"/>
      <c r="AM93" s="35"/>
      <c r="AN93" s="35"/>
      <c r="AO93" s="35"/>
      <c r="AP93" s="35"/>
      <c r="AQ93" s="35"/>
      <c r="AR93" s="36"/>
      <c r="AS93" s="47"/>
      <c r="AT93" s="94"/>
      <c r="AU93" s="95"/>
      <c r="AV93" s="47"/>
      <c r="AW93" s="94"/>
      <c r="AX93" s="95"/>
      <c r="AY93" s="34">
        <f t="shared" si="46"/>
        <v>-2126709</v>
      </c>
      <c r="AZ93" s="61">
        <f t="shared" si="51"/>
        <v>-648658248</v>
      </c>
      <c r="BA93" s="61">
        <f t="shared" si="52"/>
        <v>-43338800</v>
      </c>
      <c r="BB93" s="61">
        <f t="shared" si="53"/>
        <v>-605292768</v>
      </c>
      <c r="BC93" s="61">
        <f t="shared" si="54"/>
        <v>-8005140</v>
      </c>
      <c r="BD93" s="61">
        <f t="shared" si="55"/>
        <v>-22777170</v>
      </c>
      <c r="BE93" s="61">
        <f t="shared" si="56"/>
        <v>-36302238</v>
      </c>
      <c r="BF93" s="61">
        <f t="shared" si="57"/>
        <v>-49588392</v>
      </c>
      <c r="BG93" s="61">
        <f t="shared" si="58"/>
        <v>-4117596</v>
      </c>
      <c r="BH93" s="61">
        <f t="shared" si="59"/>
        <v>-12627376</v>
      </c>
      <c r="BI93" s="61">
        <f t="shared" si="60"/>
        <v>-17905280</v>
      </c>
      <c r="BJ93" s="154">
        <f t="shared" si="61"/>
        <v>-48.999439032680598</v>
      </c>
      <c r="BK93" s="154">
        <f t="shared" si="62"/>
        <v>-53.344911583508001</v>
      </c>
      <c r="BL93" s="69">
        <f t="shared" si="64"/>
        <v>-0.99856602648174997</v>
      </c>
    </row>
    <row r="94" spans="1:64" ht="15.75" thickBot="1" x14ac:dyDescent="0.3">
      <c r="A94" s="245"/>
      <c r="B94" s="249"/>
      <c r="C94" s="28" t="s">
        <v>49</v>
      </c>
      <c r="D94" s="44"/>
      <c r="E94" s="37">
        <v>2126709</v>
      </c>
      <c r="F94" s="64">
        <v>771642880</v>
      </c>
      <c r="G94" s="64">
        <v>43338800</v>
      </c>
      <c r="H94" s="64">
        <v>728277400</v>
      </c>
      <c r="I94" s="64">
        <v>9602742</v>
      </c>
      <c r="J94" s="64">
        <v>27426764</v>
      </c>
      <c r="K94" s="64">
        <v>44504912</v>
      </c>
      <c r="L94" s="64">
        <v>61672642</v>
      </c>
      <c r="M94" s="64">
        <v>4634022</v>
      </c>
      <c r="N94" s="64">
        <v>14198696</v>
      </c>
      <c r="O94" s="64">
        <v>20029572</v>
      </c>
      <c r="P94" s="65">
        <v>50.738097508433398</v>
      </c>
      <c r="Q94" s="65">
        <v>54.935287447988301</v>
      </c>
      <c r="R94" s="66">
        <v>0.99877621489990998</v>
      </c>
      <c r="S94" s="22">
        <v>117.676</v>
      </c>
      <c r="T94" s="22">
        <v>111.126</v>
      </c>
      <c r="U94" s="22">
        <v>4.7972200000000003</v>
      </c>
      <c r="V94" s="22">
        <v>1.77417</v>
      </c>
      <c r="W94" s="22">
        <v>109.098</v>
      </c>
      <c r="X94" s="38">
        <v>105.374</v>
      </c>
      <c r="Y94" s="37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6"/>
      <c r="AK94" s="66"/>
      <c r="AL94" s="66"/>
      <c r="AM94" s="22"/>
      <c r="AN94" s="22"/>
      <c r="AO94" s="22"/>
      <c r="AP94" s="22"/>
      <c r="AQ94" s="22"/>
      <c r="AR94" s="38"/>
      <c r="AS94" s="48"/>
      <c r="AT94" s="94"/>
      <c r="AU94" s="95"/>
      <c r="AV94" s="48"/>
      <c r="AW94" s="94"/>
      <c r="AX94" s="95"/>
      <c r="AY94" s="37">
        <f t="shared" si="46"/>
        <v>-2126709</v>
      </c>
      <c r="AZ94" s="64">
        <f t="shared" si="51"/>
        <v>-771642880</v>
      </c>
      <c r="BA94" s="64">
        <f t="shared" si="52"/>
        <v>-43338800</v>
      </c>
      <c r="BB94" s="64">
        <f t="shared" si="53"/>
        <v>-728277400</v>
      </c>
      <c r="BC94" s="64">
        <f t="shared" si="54"/>
        <v>-9602742</v>
      </c>
      <c r="BD94" s="64">
        <f t="shared" si="55"/>
        <v>-27426764</v>
      </c>
      <c r="BE94" s="64">
        <f t="shared" si="56"/>
        <v>-44504912</v>
      </c>
      <c r="BF94" s="64">
        <f t="shared" si="57"/>
        <v>-61672642</v>
      </c>
      <c r="BG94" s="64">
        <f t="shared" si="58"/>
        <v>-4634022</v>
      </c>
      <c r="BH94" s="64">
        <f t="shared" si="59"/>
        <v>-14198696</v>
      </c>
      <c r="BI94" s="64">
        <f t="shared" si="60"/>
        <v>-20029572</v>
      </c>
      <c r="BJ94" s="70">
        <f t="shared" si="61"/>
        <v>-50.738097508433398</v>
      </c>
      <c r="BK94" s="70">
        <f t="shared" si="62"/>
        <v>-54.935287447988301</v>
      </c>
      <c r="BL94" s="71">
        <f t="shared" si="64"/>
        <v>-0.99877621489990998</v>
      </c>
    </row>
    <row r="95" spans="1:64" x14ac:dyDescent="0.25">
      <c r="A95" s="245"/>
      <c r="B95" s="247" t="s">
        <v>1318</v>
      </c>
      <c r="C95" s="26" t="s">
        <v>45</v>
      </c>
      <c r="D95" s="43"/>
      <c r="E95" s="32">
        <v>4102648</v>
      </c>
      <c r="F95" s="58">
        <v>588141640</v>
      </c>
      <c r="G95" s="58">
        <v>103477120</v>
      </c>
      <c r="H95" s="58">
        <v>484637728</v>
      </c>
      <c r="I95" s="58">
        <v>8259490</v>
      </c>
      <c r="J95" s="58">
        <v>14258046</v>
      </c>
      <c r="K95" s="58">
        <v>21880796</v>
      </c>
      <c r="L95" s="58">
        <v>29803682</v>
      </c>
      <c r="M95" s="58">
        <v>5094244</v>
      </c>
      <c r="N95" s="58">
        <v>16990628</v>
      </c>
      <c r="O95" s="58">
        <v>24872546</v>
      </c>
      <c r="P95" s="59">
        <v>35.262793940918499</v>
      </c>
      <c r="Q95" s="59">
        <v>39.932216461167698</v>
      </c>
      <c r="R95" s="60">
        <v>0.99032607013770901</v>
      </c>
      <c r="S95" s="21">
        <v>198.37899999999999</v>
      </c>
      <c r="T95" s="21">
        <v>193.07400000000001</v>
      </c>
      <c r="U95" s="21">
        <v>10.2746</v>
      </c>
      <c r="V95" s="21">
        <v>2.9496600000000002</v>
      </c>
      <c r="W95" s="21">
        <v>180.94</v>
      </c>
      <c r="X95" s="33">
        <v>186.07300000000001</v>
      </c>
      <c r="Y95" s="32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60"/>
      <c r="AK95" s="60"/>
      <c r="AL95" s="60"/>
      <c r="AM95" s="21"/>
      <c r="AN95" s="21"/>
      <c r="AO95" s="21"/>
      <c r="AP95" s="21"/>
      <c r="AQ95" s="21"/>
      <c r="AR95" s="33"/>
      <c r="AS95" s="171" t="str">
        <f ca="1">bdRateHermiteNew(INDIRECT("F95:F99"), INDIRECT("P95:P99"), INDIRECT("Z95:Z99"), INDIRECT("AJ95:AJ99"))</f>
        <v>No Test</v>
      </c>
      <c r="AT95" s="172" t="str">
        <f ca="1">bdRateHermiteNew(INDIRECT("F95:F99"), INDIRECT("Q95:Q99"), INDIRECT("Z95:Z99"), INDIRECT("AK95:AK99"))</f>
        <v>No Test</v>
      </c>
      <c r="AU95" s="173" t="str">
        <f ca="1">bdRateHermiteNew(INDIRECT("F95:F99"), INDIRECT("R95:R99"), INDIRECT("Z95:Z99"), INDIRECT("AL95:AL99"))</f>
        <v>No Test</v>
      </c>
      <c r="AV95" s="171" t="str">
        <f ca="1">bdRateHermiteNew(INDIRECT("H95:H99"), INDIRECT("P95:P99"), INDIRECT("AB95:AB99"), INDIRECT("AJ95:AJ99"))</f>
        <v>No Test</v>
      </c>
      <c r="AW95" s="172" t="str">
        <f ca="1">bdRateHermiteNew(INDIRECT("H95:H99"), INDIRECT("Q95:Q99"), INDIRECT("AB95:AB99"), INDIRECT("AK95:AK99"))</f>
        <v>No Test</v>
      </c>
      <c r="AX95" s="173" t="str">
        <f ca="1">bdRateHermiteNew(INDIRECT("H95:H99"), INDIRECT("R95:R99"), INDIRECT("AB95:AB99"), INDIRECT("AL95:AL99"))</f>
        <v>No Test</v>
      </c>
      <c r="AY95" s="32">
        <f t="shared" si="46"/>
        <v>-4102648</v>
      </c>
      <c r="AZ95" s="58">
        <f t="shared" si="51"/>
        <v>-588141640</v>
      </c>
      <c r="BA95" s="58">
        <f t="shared" si="52"/>
        <v>-103477120</v>
      </c>
      <c r="BB95" s="58">
        <f t="shared" si="53"/>
        <v>-484637728</v>
      </c>
      <c r="BC95" s="58">
        <f t="shared" si="54"/>
        <v>-8259490</v>
      </c>
      <c r="BD95" s="58">
        <f t="shared" si="55"/>
        <v>-14258046</v>
      </c>
      <c r="BE95" s="58">
        <f t="shared" si="56"/>
        <v>-21880796</v>
      </c>
      <c r="BF95" s="58">
        <f t="shared" si="57"/>
        <v>-29803682</v>
      </c>
      <c r="BG95" s="58">
        <f t="shared" si="58"/>
        <v>-5094244</v>
      </c>
      <c r="BH95" s="58">
        <f t="shared" si="59"/>
        <v>-16990628</v>
      </c>
      <c r="BI95" s="58">
        <f t="shared" si="60"/>
        <v>-24872546</v>
      </c>
      <c r="BJ95" s="67">
        <f t="shared" si="61"/>
        <v>-35.262793940918499</v>
      </c>
      <c r="BK95" s="67">
        <f t="shared" si="62"/>
        <v>-39.932216461167698</v>
      </c>
      <c r="BL95" s="68">
        <f>AL95-R95</f>
        <v>-0.99032607013770901</v>
      </c>
    </row>
    <row r="96" spans="1:64" x14ac:dyDescent="0.25">
      <c r="A96" s="245"/>
      <c r="B96" s="248"/>
      <c r="C96" s="27" t="s">
        <v>46</v>
      </c>
      <c r="D96" s="183"/>
      <c r="E96" s="34">
        <v>4102648</v>
      </c>
      <c r="F96" s="61">
        <v>792686872</v>
      </c>
      <c r="G96" s="61">
        <v>103477120</v>
      </c>
      <c r="H96" s="61">
        <v>689182960</v>
      </c>
      <c r="I96" s="61">
        <v>11121900</v>
      </c>
      <c r="J96" s="61">
        <v>22702114</v>
      </c>
      <c r="K96" s="61">
        <v>35641572</v>
      </c>
      <c r="L96" s="61">
        <v>48824146</v>
      </c>
      <c r="M96" s="61">
        <v>6131784</v>
      </c>
      <c r="N96" s="61">
        <v>19475528</v>
      </c>
      <c r="O96" s="61">
        <v>28398696</v>
      </c>
      <c r="P96" s="62">
        <v>41.224016011174299</v>
      </c>
      <c r="Q96" s="62">
        <v>45.845243154369903</v>
      </c>
      <c r="R96" s="63">
        <v>0.99660849150983</v>
      </c>
      <c r="S96" s="35">
        <v>201.75899999999999</v>
      </c>
      <c r="T96" s="35">
        <v>194.37799999999999</v>
      </c>
      <c r="U96" s="35">
        <v>10.1648</v>
      </c>
      <c r="V96" s="35">
        <v>2.97804</v>
      </c>
      <c r="W96" s="35">
        <v>184.477</v>
      </c>
      <c r="X96" s="36">
        <v>185.91200000000001</v>
      </c>
      <c r="Y96" s="34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3"/>
      <c r="AK96" s="63"/>
      <c r="AL96" s="63"/>
      <c r="AM96" s="35"/>
      <c r="AN96" s="35"/>
      <c r="AO96" s="35"/>
      <c r="AP96" s="35"/>
      <c r="AQ96" s="35"/>
      <c r="AR96" s="36"/>
      <c r="AS96" s="47"/>
      <c r="AT96" s="94"/>
      <c r="AU96" s="95"/>
      <c r="AV96" s="47"/>
      <c r="AW96" s="94"/>
      <c r="AX96" s="95"/>
      <c r="AY96" s="34">
        <f t="shared" si="46"/>
        <v>-4102648</v>
      </c>
      <c r="AZ96" s="61">
        <f t="shared" si="51"/>
        <v>-792686872</v>
      </c>
      <c r="BA96" s="61">
        <f t="shared" si="52"/>
        <v>-103477120</v>
      </c>
      <c r="BB96" s="61">
        <f t="shared" si="53"/>
        <v>-689182960</v>
      </c>
      <c r="BC96" s="61">
        <f t="shared" si="54"/>
        <v>-11121900</v>
      </c>
      <c r="BD96" s="61">
        <f t="shared" si="55"/>
        <v>-22702114</v>
      </c>
      <c r="BE96" s="61">
        <f t="shared" si="56"/>
        <v>-35641572</v>
      </c>
      <c r="BF96" s="61">
        <f t="shared" si="57"/>
        <v>-48824146</v>
      </c>
      <c r="BG96" s="61">
        <f t="shared" si="58"/>
        <v>-6131784</v>
      </c>
      <c r="BH96" s="61">
        <f t="shared" si="59"/>
        <v>-19475528</v>
      </c>
      <c r="BI96" s="61">
        <f t="shared" si="60"/>
        <v>-28398696</v>
      </c>
      <c r="BJ96" s="154">
        <f t="shared" si="61"/>
        <v>-41.224016011174299</v>
      </c>
      <c r="BK96" s="154">
        <f t="shared" si="62"/>
        <v>-45.845243154369903</v>
      </c>
      <c r="BL96" s="69">
        <f t="shared" ref="BL96:BL99" si="65">AL96-R96</f>
        <v>-0.99660849150983</v>
      </c>
    </row>
    <row r="97" spans="1:64" x14ac:dyDescent="0.25">
      <c r="A97" s="245"/>
      <c r="B97" s="248"/>
      <c r="C97" s="27" t="s">
        <v>47</v>
      </c>
      <c r="D97" s="183"/>
      <c r="E97" s="34">
        <v>4102648</v>
      </c>
      <c r="F97" s="61">
        <v>1036653648</v>
      </c>
      <c r="G97" s="61">
        <v>103477120</v>
      </c>
      <c r="H97" s="61">
        <v>933149736</v>
      </c>
      <c r="I97" s="61">
        <v>14083852</v>
      </c>
      <c r="J97" s="61">
        <v>33578668</v>
      </c>
      <c r="K97" s="61">
        <v>52772900</v>
      </c>
      <c r="L97" s="61">
        <v>71464282</v>
      </c>
      <c r="M97" s="61">
        <v>6878368</v>
      </c>
      <c r="N97" s="61">
        <v>22231358</v>
      </c>
      <c r="O97" s="61">
        <v>32278006</v>
      </c>
      <c r="P97" s="62">
        <v>46.572098414968799</v>
      </c>
      <c r="Q97" s="62">
        <v>51.0463553488419</v>
      </c>
      <c r="R97" s="63">
        <v>0.99836865978951905</v>
      </c>
      <c r="S97" s="35">
        <v>206.48599999999999</v>
      </c>
      <c r="T97" s="35">
        <v>201.27199999999999</v>
      </c>
      <c r="U97" s="35">
        <v>10.1389</v>
      </c>
      <c r="V97" s="35">
        <v>2.9773000000000001</v>
      </c>
      <c r="W97" s="35">
        <v>189.12</v>
      </c>
      <c r="X97" s="36">
        <v>192.727</v>
      </c>
      <c r="Y97" s="34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3"/>
      <c r="AK97" s="63"/>
      <c r="AL97" s="63"/>
      <c r="AM97" s="35"/>
      <c r="AN97" s="35"/>
      <c r="AO97" s="35"/>
      <c r="AP97" s="35"/>
      <c r="AQ97" s="35"/>
      <c r="AR97" s="36"/>
      <c r="AS97" s="47"/>
      <c r="AT97" s="94"/>
      <c r="AU97" s="95"/>
      <c r="AV97" s="47"/>
      <c r="AW97" s="94"/>
      <c r="AX97" s="95"/>
      <c r="AY97" s="34">
        <f t="shared" si="46"/>
        <v>-4102648</v>
      </c>
      <c r="AZ97" s="61">
        <f t="shared" si="51"/>
        <v>-1036653648</v>
      </c>
      <c r="BA97" s="61">
        <f t="shared" si="52"/>
        <v>-103477120</v>
      </c>
      <c r="BB97" s="61">
        <f t="shared" si="53"/>
        <v>-933149736</v>
      </c>
      <c r="BC97" s="61">
        <f t="shared" si="54"/>
        <v>-14083852</v>
      </c>
      <c r="BD97" s="61">
        <f t="shared" si="55"/>
        <v>-33578668</v>
      </c>
      <c r="BE97" s="61">
        <f t="shared" si="56"/>
        <v>-52772900</v>
      </c>
      <c r="BF97" s="61">
        <f t="shared" si="57"/>
        <v>-71464282</v>
      </c>
      <c r="BG97" s="61">
        <f t="shared" si="58"/>
        <v>-6878368</v>
      </c>
      <c r="BH97" s="61">
        <f t="shared" si="59"/>
        <v>-22231358</v>
      </c>
      <c r="BI97" s="61">
        <f t="shared" si="60"/>
        <v>-32278006</v>
      </c>
      <c r="BJ97" s="154">
        <f t="shared" si="61"/>
        <v>-46.572098414968799</v>
      </c>
      <c r="BK97" s="154">
        <f t="shared" si="62"/>
        <v>-51.0463553488419</v>
      </c>
      <c r="BL97" s="69">
        <f t="shared" si="65"/>
        <v>-0.99836865978951905</v>
      </c>
    </row>
    <row r="98" spans="1:64" x14ac:dyDescent="0.25">
      <c r="A98" s="245"/>
      <c r="B98" s="248"/>
      <c r="C98" s="27" t="s">
        <v>48</v>
      </c>
      <c r="D98" s="183"/>
      <c r="E98" s="34">
        <v>4102648</v>
      </c>
      <c r="F98" s="61">
        <v>1298829368</v>
      </c>
      <c r="G98" s="61">
        <v>103477120</v>
      </c>
      <c r="H98" s="61">
        <v>1195325568</v>
      </c>
      <c r="I98" s="61">
        <v>17253870</v>
      </c>
      <c r="J98" s="61">
        <v>44943958</v>
      </c>
      <c r="K98" s="61">
        <v>70604486</v>
      </c>
      <c r="L98" s="61">
        <v>96702140</v>
      </c>
      <c r="M98" s="61">
        <v>7772862</v>
      </c>
      <c r="N98" s="61">
        <v>25179068</v>
      </c>
      <c r="O98" s="61">
        <v>36375008</v>
      </c>
      <c r="P98" s="62">
        <v>50.661429792491298</v>
      </c>
      <c r="Q98" s="62">
        <v>54.841643296546799</v>
      </c>
      <c r="R98" s="63">
        <v>0.99884472151539905</v>
      </c>
      <c r="S98" s="35">
        <v>203.00299999999999</v>
      </c>
      <c r="T98" s="35">
        <v>206.59800000000001</v>
      </c>
      <c r="U98" s="35">
        <v>9.8005300000000002</v>
      </c>
      <c r="V98" s="35">
        <v>2.9291900000000002</v>
      </c>
      <c r="W98" s="35">
        <v>186.39699999999999</v>
      </c>
      <c r="X98" s="36">
        <v>197.245</v>
      </c>
      <c r="Y98" s="34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3"/>
      <c r="AK98" s="63"/>
      <c r="AL98" s="63"/>
      <c r="AM98" s="35"/>
      <c r="AN98" s="35"/>
      <c r="AO98" s="35"/>
      <c r="AP98" s="35"/>
      <c r="AQ98" s="35"/>
      <c r="AR98" s="36"/>
      <c r="AS98" s="47"/>
      <c r="AT98" s="94"/>
      <c r="AU98" s="95"/>
      <c r="AV98" s="47"/>
      <c r="AW98" s="94"/>
      <c r="AX98" s="95"/>
      <c r="AY98" s="34">
        <f t="shared" si="46"/>
        <v>-4102648</v>
      </c>
      <c r="AZ98" s="61">
        <f t="shared" si="51"/>
        <v>-1298829368</v>
      </c>
      <c r="BA98" s="61">
        <f t="shared" si="52"/>
        <v>-103477120</v>
      </c>
      <c r="BB98" s="61">
        <f t="shared" si="53"/>
        <v>-1195325568</v>
      </c>
      <c r="BC98" s="61">
        <f t="shared" si="54"/>
        <v>-17253870</v>
      </c>
      <c r="BD98" s="61">
        <f t="shared" si="55"/>
        <v>-44943958</v>
      </c>
      <c r="BE98" s="61">
        <f t="shared" si="56"/>
        <v>-70604486</v>
      </c>
      <c r="BF98" s="61">
        <f t="shared" si="57"/>
        <v>-96702140</v>
      </c>
      <c r="BG98" s="61">
        <f t="shared" si="58"/>
        <v>-7772862</v>
      </c>
      <c r="BH98" s="61">
        <f t="shared" si="59"/>
        <v>-25179068</v>
      </c>
      <c r="BI98" s="61">
        <f t="shared" si="60"/>
        <v>-36375008</v>
      </c>
      <c r="BJ98" s="154">
        <f t="shared" si="61"/>
        <v>-50.661429792491298</v>
      </c>
      <c r="BK98" s="154">
        <f t="shared" si="62"/>
        <v>-54.841643296546799</v>
      </c>
      <c r="BL98" s="69">
        <f t="shared" si="65"/>
        <v>-0.99884472151539905</v>
      </c>
    </row>
    <row r="99" spans="1:64" ht="15.75" thickBot="1" x14ac:dyDescent="0.3">
      <c r="A99" s="245"/>
      <c r="B99" s="249"/>
      <c r="C99" s="28" t="s">
        <v>49</v>
      </c>
      <c r="D99" s="44"/>
      <c r="E99" s="37">
        <v>4102648</v>
      </c>
      <c r="F99" s="64">
        <v>1531228400</v>
      </c>
      <c r="G99" s="64">
        <v>103477120</v>
      </c>
      <c r="H99" s="64">
        <v>1427724600</v>
      </c>
      <c r="I99" s="64">
        <v>20353476</v>
      </c>
      <c r="J99" s="64">
        <v>53457028</v>
      </c>
      <c r="K99" s="64">
        <v>85713296</v>
      </c>
      <c r="L99" s="64">
        <v>119832112</v>
      </c>
      <c r="M99" s="64">
        <v>8758702</v>
      </c>
      <c r="N99" s="64">
        <v>28312542</v>
      </c>
      <c r="O99" s="64">
        <v>40503994</v>
      </c>
      <c r="P99" s="65">
        <v>53.087216922761598</v>
      </c>
      <c r="Q99" s="65">
        <v>56.998537451877297</v>
      </c>
      <c r="R99" s="66">
        <v>0.99905702332669899</v>
      </c>
      <c r="S99" s="22">
        <v>215.703</v>
      </c>
      <c r="T99" s="22">
        <v>211.988</v>
      </c>
      <c r="U99" s="22">
        <v>10.2049</v>
      </c>
      <c r="V99" s="22">
        <v>2.9268700000000001</v>
      </c>
      <c r="W99" s="22">
        <v>199.52199999999999</v>
      </c>
      <c r="X99" s="38">
        <v>201.55600000000001</v>
      </c>
      <c r="Y99" s="37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6"/>
      <c r="AK99" s="66"/>
      <c r="AL99" s="66"/>
      <c r="AM99" s="22"/>
      <c r="AN99" s="22"/>
      <c r="AO99" s="22"/>
      <c r="AP99" s="22"/>
      <c r="AQ99" s="22"/>
      <c r="AR99" s="38"/>
      <c r="AS99" s="48"/>
      <c r="AT99" s="94"/>
      <c r="AU99" s="95"/>
      <c r="AV99" s="48"/>
      <c r="AW99" s="94"/>
      <c r="AX99" s="95"/>
      <c r="AY99" s="37">
        <f t="shared" si="46"/>
        <v>-4102648</v>
      </c>
      <c r="AZ99" s="64">
        <f t="shared" si="51"/>
        <v>-1531228400</v>
      </c>
      <c r="BA99" s="64">
        <f t="shared" si="52"/>
        <v>-103477120</v>
      </c>
      <c r="BB99" s="64">
        <f t="shared" si="53"/>
        <v>-1427724600</v>
      </c>
      <c r="BC99" s="64">
        <f t="shared" si="54"/>
        <v>-20353476</v>
      </c>
      <c r="BD99" s="64">
        <f t="shared" si="55"/>
        <v>-53457028</v>
      </c>
      <c r="BE99" s="64">
        <f t="shared" si="56"/>
        <v>-85713296</v>
      </c>
      <c r="BF99" s="64">
        <f t="shared" si="57"/>
        <v>-119832112</v>
      </c>
      <c r="BG99" s="64">
        <f t="shared" si="58"/>
        <v>-8758702</v>
      </c>
      <c r="BH99" s="64">
        <f t="shared" si="59"/>
        <v>-28312542</v>
      </c>
      <c r="BI99" s="64">
        <f t="shared" si="60"/>
        <v>-40503994</v>
      </c>
      <c r="BJ99" s="70">
        <f t="shared" si="61"/>
        <v>-53.087216922761598</v>
      </c>
      <c r="BK99" s="70">
        <f t="shared" si="62"/>
        <v>-56.998537451877297</v>
      </c>
      <c r="BL99" s="71">
        <f t="shared" si="65"/>
        <v>-0.99905702332669899</v>
      </c>
    </row>
    <row r="100" spans="1:64" x14ac:dyDescent="0.25">
      <c r="A100" s="245"/>
      <c r="B100" s="247" t="s">
        <v>1319</v>
      </c>
      <c r="C100" s="26" t="s">
        <v>45</v>
      </c>
      <c r="D100" s="43"/>
      <c r="E100" s="32">
        <v>2200851</v>
      </c>
      <c r="F100" s="58">
        <v>314817728</v>
      </c>
      <c r="G100" s="58">
        <v>54553520</v>
      </c>
      <c r="H100" s="58">
        <v>260237416</v>
      </c>
      <c r="I100" s="58">
        <v>3899098</v>
      </c>
      <c r="J100" s="58">
        <v>7785726</v>
      </c>
      <c r="K100" s="58">
        <v>12431348</v>
      </c>
      <c r="L100" s="58">
        <v>16307716</v>
      </c>
      <c r="M100" s="58">
        <v>2787772</v>
      </c>
      <c r="N100" s="58">
        <v>8727260</v>
      </c>
      <c r="O100" s="58">
        <v>13120434</v>
      </c>
      <c r="P100" s="59">
        <v>35.0393451844567</v>
      </c>
      <c r="Q100" s="59">
        <v>39.746076717945797</v>
      </c>
      <c r="R100" s="60">
        <v>0.98950354492305004</v>
      </c>
      <c r="S100" s="21">
        <v>113.45099999999999</v>
      </c>
      <c r="T100" s="21">
        <v>103.474</v>
      </c>
      <c r="U100" s="21">
        <v>5.3372299999999999</v>
      </c>
      <c r="V100" s="21">
        <v>1.7470000000000001</v>
      </c>
      <c r="W100" s="21">
        <v>104.91800000000001</v>
      </c>
      <c r="X100" s="33">
        <v>99.500699999999995</v>
      </c>
      <c r="Y100" s="32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60"/>
      <c r="AK100" s="60"/>
      <c r="AL100" s="60"/>
      <c r="AM100" s="21"/>
      <c r="AN100" s="21"/>
      <c r="AO100" s="21"/>
      <c r="AP100" s="21"/>
      <c r="AQ100" s="21"/>
      <c r="AR100" s="33"/>
      <c r="AS100" s="171" t="str">
        <f ca="1">bdRateHermiteNew(INDIRECT("F100:F104"), INDIRECT("P100:P104"), INDIRECT("Z100:Z104"), INDIRECT("AJ100:AJ104"))</f>
        <v>No Test</v>
      </c>
      <c r="AT100" s="172" t="str">
        <f ca="1">bdRateHermiteNew(INDIRECT("F100:F104"), INDIRECT("Q100:Q104"), INDIRECT("Z100:Z104"), INDIRECT("AK100:AK104"))</f>
        <v>No Test</v>
      </c>
      <c r="AU100" s="173" t="str">
        <f ca="1">bdRateHermiteNew(INDIRECT("F100:F104"), INDIRECT("R100:R104"), INDIRECT("Z100:Z104"), INDIRECT("AL100:AL104"))</f>
        <v>No Test</v>
      </c>
      <c r="AV100" s="171" t="str">
        <f ca="1">bdRateHermiteNew(INDIRECT("H100:H104"), INDIRECT("P100:P104"), INDIRECT("AB100:AB104"), INDIRECT("AJ100:AJ104"))</f>
        <v>No Test</v>
      </c>
      <c r="AW100" s="172" t="str">
        <f ca="1">bdRateHermiteNew(INDIRECT("H100:H104"), INDIRECT("Q100:Q104"), INDIRECT("AB100:AB104"), INDIRECT("AK100:AK104"))</f>
        <v>No Test</v>
      </c>
      <c r="AX100" s="173" t="str">
        <f ca="1">bdRateHermiteNew(INDIRECT("H100:H104"), INDIRECT("R100:R104"), INDIRECT("AB100:AB104"), INDIRECT("AL100:AL104"))</f>
        <v>No Test</v>
      </c>
      <c r="AY100" s="32">
        <f t="shared" si="46"/>
        <v>-2200851</v>
      </c>
      <c r="AZ100" s="58">
        <f t="shared" si="51"/>
        <v>-314817728</v>
      </c>
      <c r="BA100" s="58">
        <f t="shared" si="52"/>
        <v>-54553520</v>
      </c>
      <c r="BB100" s="58">
        <f t="shared" si="53"/>
        <v>-260237416</v>
      </c>
      <c r="BC100" s="58">
        <f t="shared" si="54"/>
        <v>-3899098</v>
      </c>
      <c r="BD100" s="58">
        <f t="shared" si="55"/>
        <v>-7785726</v>
      </c>
      <c r="BE100" s="58">
        <f t="shared" si="56"/>
        <v>-12431348</v>
      </c>
      <c r="BF100" s="58">
        <f t="shared" si="57"/>
        <v>-16307716</v>
      </c>
      <c r="BG100" s="58">
        <f t="shared" si="58"/>
        <v>-2787772</v>
      </c>
      <c r="BH100" s="58">
        <f t="shared" si="59"/>
        <v>-8727260</v>
      </c>
      <c r="BI100" s="58">
        <f t="shared" si="60"/>
        <v>-13120434</v>
      </c>
      <c r="BJ100" s="67">
        <f t="shared" si="61"/>
        <v>-35.0393451844567</v>
      </c>
      <c r="BK100" s="67">
        <f t="shared" si="62"/>
        <v>-39.746076717945797</v>
      </c>
      <c r="BL100" s="68">
        <f>AL100-R100</f>
        <v>-0.98950354492305004</v>
      </c>
    </row>
    <row r="101" spans="1:64" x14ac:dyDescent="0.25">
      <c r="A101" s="245"/>
      <c r="B101" s="248"/>
      <c r="C101" s="27" t="s">
        <v>46</v>
      </c>
      <c r="D101" s="183"/>
      <c r="E101" s="34">
        <v>2200851</v>
      </c>
      <c r="F101" s="61">
        <v>426208880</v>
      </c>
      <c r="G101" s="61">
        <v>54553520</v>
      </c>
      <c r="H101" s="61">
        <v>371628568</v>
      </c>
      <c r="I101" s="61">
        <v>5468634</v>
      </c>
      <c r="J101" s="61">
        <v>12381076</v>
      </c>
      <c r="K101" s="61">
        <v>19950238</v>
      </c>
      <c r="L101" s="61">
        <v>26614998</v>
      </c>
      <c r="M101" s="61">
        <v>3333704</v>
      </c>
      <c r="N101" s="61">
        <v>10133152</v>
      </c>
      <c r="O101" s="61">
        <v>15025340</v>
      </c>
      <c r="P101" s="62">
        <v>41.005184788467503</v>
      </c>
      <c r="Q101" s="62">
        <v>45.665764501299201</v>
      </c>
      <c r="R101" s="63">
        <v>0.99629688086839996</v>
      </c>
      <c r="S101" s="35">
        <v>99.751099999999994</v>
      </c>
      <c r="T101" s="35">
        <v>109.336</v>
      </c>
      <c r="U101" s="35">
        <v>4.6788600000000002</v>
      </c>
      <c r="V101" s="35">
        <v>1.7805599999999999</v>
      </c>
      <c r="W101" s="35">
        <v>91.952200000000005</v>
      </c>
      <c r="X101" s="36">
        <v>104.944</v>
      </c>
      <c r="Y101" s="34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3"/>
      <c r="AK101" s="63"/>
      <c r="AL101" s="63"/>
      <c r="AM101" s="35"/>
      <c r="AN101" s="35"/>
      <c r="AO101" s="35"/>
      <c r="AP101" s="35"/>
      <c r="AQ101" s="35"/>
      <c r="AR101" s="36"/>
      <c r="AS101" s="47"/>
      <c r="AT101" s="94"/>
      <c r="AU101" s="95"/>
      <c r="AV101" s="47"/>
      <c r="AW101" s="94"/>
      <c r="AX101" s="95"/>
      <c r="AY101" s="34">
        <f t="shared" si="46"/>
        <v>-2200851</v>
      </c>
      <c r="AZ101" s="61">
        <f t="shared" si="51"/>
        <v>-426208880</v>
      </c>
      <c r="BA101" s="61">
        <f t="shared" si="52"/>
        <v>-54553520</v>
      </c>
      <c r="BB101" s="61">
        <f t="shared" si="53"/>
        <v>-371628568</v>
      </c>
      <c r="BC101" s="61">
        <f t="shared" si="54"/>
        <v>-5468634</v>
      </c>
      <c r="BD101" s="61">
        <f t="shared" si="55"/>
        <v>-12381076</v>
      </c>
      <c r="BE101" s="61">
        <f t="shared" si="56"/>
        <v>-19950238</v>
      </c>
      <c r="BF101" s="61">
        <f t="shared" si="57"/>
        <v>-26614998</v>
      </c>
      <c r="BG101" s="61">
        <f t="shared" si="58"/>
        <v>-3333704</v>
      </c>
      <c r="BH101" s="61">
        <f t="shared" si="59"/>
        <v>-10133152</v>
      </c>
      <c r="BI101" s="61">
        <f t="shared" si="60"/>
        <v>-15025340</v>
      </c>
      <c r="BJ101" s="154">
        <f t="shared" si="61"/>
        <v>-41.005184788467503</v>
      </c>
      <c r="BK101" s="154">
        <f t="shared" si="62"/>
        <v>-45.665764501299201</v>
      </c>
      <c r="BL101" s="69">
        <f t="shared" ref="BL101:BL104" si="66">AL101-R101</f>
        <v>-0.99629688086839996</v>
      </c>
    </row>
    <row r="102" spans="1:64" x14ac:dyDescent="0.25">
      <c r="A102" s="245"/>
      <c r="B102" s="248"/>
      <c r="C102" s="27" t="s">
        <v>47</v>
      </c>
      <c r="D102" s="183"/>
      <c r="E102" s="34">
        <v>2200851</v>
      </c>
      <c r="F102" s="61">
        <v>559055264</v>
      </c>
      <c r="G102" s="61">
        <v>54553520</v>
      </c>
      <c r="H102" s="61">
        <v>504474952</v>
      </c>
      <c r="I102" s="61">
        <v>7073692</v>
      </c>
      <c r="J102" s="61">
        <v>18170060</v>
      </c>
      <c r="K102" s="61">
        <v>29322114</v>
      </c>
      <c r="L102" s="61">
        <v>39110640</v>
      </c>
      <c r="M102" s="61">
        <v>3752458</v>
      </c>
      <c r="N102" s="61">
        <v>11594890</v>
      </c>
      <c r="O102" s="61">
        <v>17094884</v>
      </c>
      <c r="P102" s="62">
        <v>46.299938258475301</v>
      </c>
      <c r="Q102" s="62">
        <v>50.825308617786902</v>
      </c>
      <c r="R102" s="63">
        <v>0.99822190948417999</v>
      </c>
      <c r="S102" s="35">
        <v>119.04</v>
      </c>
      <c r="T102" s="35">
        <v>106.59699999999999</v>
      </c>
      <c r="U102" s="35">
        <v>5.3673900000000003</v>
      </c>
      <c r="V102" s="35">
        <v>1.7211700000000001</v>
      </c>
      <c r="W102" s="35">
        <v>109.712</v>
      </c>
      <c r="X102" s="36">
        <v>101.444</v>
      </c>
      <c r="Y102" s="34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3"/>
      <c r="AK102" s="63"/>
      <c r="AL102" s="63"/>
      <c r="AM102" s="35"/>
      <c r="AN102" s="35"/>
      <c r="AO102" s="35"/>
      <c r="AP102" s="35"/>
      <c r="AQ102" s="35"/>
      <c r="AR102" s="36"/>
      <c r="AS102" s="47"/>
      <c r="AT102" s="94"/>
      <c r="AU102" s="95"/>
      <c r="AV102" s="47"/>
      <c r="AW102" s="94"/>
      <c r="AX102" s="95"/>
      <c r="AY102" s="34">
        <f t="shared" si="46"/>
        <v>-2200851</v>
      </c>
      <c r="AZ102" s="61">
        <f t="shared" si="51"/>
        <v>-559055264</v>
      </c>
      <c r="BA102" s="61">
        <f t="shared" si="52"/>
        <v>-54553520</v>
      </c>
      <c r="BB102" s="61">
        <f t="shared" si="53"/>
        <v>-504474952</v>
      </c>
      <c r="BC102" s="61">
        <f t="shared" si="54"/>
        <v>-7073692</v>
      </c>
      <c r="BD102" s="61">
        <f t="shared" si="55"/>
        <v>-18170060</v>
      </c>
      <c r="BE102" s="61">
        <f t="shared" si="56"/>
        <v>-29322114</v>
      </c>
      <c r="BF102" s="61">
        <f t="shared" si="57"/>
        <v>-39110640</v>
      </c>
      <c r="BG102" s="61">
        <f t="shared" si="58"/>
        <v>-3752458</v>
      </c>
      <c r="BH102" s="61">
        <f t="shared" si="59"/>
        <v>-11594890</v>
      </c>
      <c r="BI102" s="61">
        <f t="shared" si="60"/>
        <v>-17094884</v>
      </c>
      <c r="BJ102" s="154">
        <f t="shared" si="61"/>
        <v>-46.299938258475301</v>
      </c>
      <c r="BK102" s="154">
        <f t="shared" si="62"/>
        <v>-50.825308617786902</v>
      </c>
      <c r="BL102" s="69">
        <f t="shared" si="66"/>
        <v>-0.99822190948417999</v>
      </c>
    </row>
    <row r="103" spans="1:64" x14ac:dyDescent="0.25">
      <c r="A103" s="245"/>
      <c r="B103" s="248"/>
      <c r="C103" s="27" t="s">
        <v>48</v>
      </c>
      <c r="D103" s="183"/>
      <c r="E103" s="34">
        <v>2200851</v>
      </c>
      <c r="F103" s="61">
        <v>701593736</v>
      </c>
      <c r="G103" s="61">
        <v>54553520</v>
      </c>
      <c r="H103" s="61">
        <v>647013536</v>
      </c>
      <c r="I103" s="61">
        <v>8747518</v>
      </c>
      <c r="J103" s="61">
        <v>24220864</v>
      </c>
      <c r="K103" s="61">
        <v>39307106</v>
      </c>
      <c r="L103" s="61">
        <v>52818752</v>
      </c>
      <c r="M103" s="61">
        <v>4237932</v>
      </c>
      <c r="N103" s="61">
        <v>13143078</v>
      </c>
      <c r="O103" s="61">
        <v>19278134</v>
      </c>
      <c r="P103" s="62">
        <v>50.360146166067899</v>
      </c>
      <c r="Q103" s="62">
        <v>54.601015013903698</v>
      </c>
      <c r="R103" s="63">
        <v>0.99874897882597902</v>
      </c>
      <c r="S103" s="35">
        <v>104.611</v>
      </c>
      <c r="T103" s="35">
        <v>112.819</v>
      </c>
      <c r="U103" s="35">
        <v>4.6831800000000001</v>
      </c>
      <c r="V103" s="35">
        <v>1.91048</v>
      </c>
      <c r="W103" s="35">
        <v>96.725200000000001</v>
      </c>
      <c r="X103" s="36">
        <v>107.30800000000001</v>
      </c>
      <c r="Y103" s="34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3"/>
      <c r="AK103" s="63"/>
      <c r="AL103" s="63"/>
      <c r="AM103" s="35"/>
      <c r="AN103" s="35"/>
      <c r="AO103" s="35"/>
      <c r="AP103" s="35"/>
      <c r="AQ103" s="35"/>
      <c r="AR103" s="36"/>
      <c r="AS103" s="47"/>
      <c r="AT103" s="94"/>
      <c r="AU103" s="95"/>
      <c r="AV103" s="47"/>
      <c r="AW103" s="94"/>
      <c r="AX103" s="95"/>
      <c r="AY103" s="34">
        <f t="shared" si="46"/>
        <v>-2200851</v>
      </c>
      <c r="AZ103" s="61">
        <f t="shared" si="51"/>
        <v>-701593736</v>
      </c>
      <c r="BA103" s="61">
        <f t="shared" si="52"/>
        <v>-54553520</v>
      </c>
      <c r="BB103" s="61">
        <f t="shared" si="53"/>
        <v>-647013536</v>
      </c>
      <c r="BC103" s="61">
        <f t="shared" si="54"/>
        <v>-8747518</v>
      </c>
      <c r="BD103" s="61">
        <f t="shared" si="55"/>
        <v>-24220864</v>
      </c>
      <c r="BE103" s="61">
        <f t="shared" si="56"/>
        <v>-39307106</v>
      </c>
      <c r="BF103" s="61">
        <f t="shared" si="57"/>
        <v>-52818752</v>
      </c>
      <c r="BG103" s="61">
        <f t="shared" si="58"/>
        <v>-4237932</v>
      </c>
      <c r="BH103" s="61">
        <f t="shared" si="59"/>
        <v>-13143078</v>
      </c>
      <c r="BI103" s="61">
        <f t="shared" si="60"/>
        <v>-19278134</v>
      </c>
      <c r="BJ103" s="154">
        <f t="shared" si="61"/>
        <v>-50.360146166067899</v>
      </c>
      <c r="BK103" s="154">
        <f t="shared" si="62"/>
        <v>-54.601015013903698</v>
      </c>
      <c r="BL103" s="69">
        <f t="shared" si="66"/>
        <v>-0.99874897882597902</v>
      </c>
    </row>
    <row r="104" spans="1:64" ht="15.75" thickBot="1" x14ac:dyDescent="0.3">
      <c r="A104" s="245"/>
      <c r="B104" s="249"/>
      <c r="C104" s="28" t="s">
        <v>49</v>
      </c>
      <c r="D104" s="44"/>
      <c r="E104" s="37">
        <v>2200851</v>
      </c>
      <c r="F104" s="64">
        <v>824739160</v>
      </c>
      <c r="G104" s="64">
        <v>54553520</v>
      </c>
      <c r="H104" s="64">
        <v>770158960</v>
      </c>
      <c r="I104" s="64">
        <v>10400578</v>
      </c>
      <c r="J104" s="64">
        <v>28877568</v>
      </c>
      <c r="K104" s="64">
        <v>47368158</v>
      </c>
      <c r="L104" s="64">
        <v>64861380</v>
      </c>
      <c r="M104" s="64">
        <v>4769192</v>
      </c>
      <c r="N104" s="64">
        <v>14783260</v>
      </c>
      <c r="O104" s="64">
        <v>21479604</v>
      </c>
      <c r="P104" s="65">
        <v>52.7173258490932</v>
      </c>
      <c r="Q104" s="65">
        <v>56.710039271599697</v>
      </c>
      <c r="R104" s="66">
        <v>0.99897221622904997</v>
      </c>
      <c r="S104" s="22">
        <v>124.73</v>
      </c>
      <c r="T104" s="22">
        <v>115.56</v>
      </c>
      <c r="U104" s="22">
        <v>5.3580199999999998</v>
      </c>
      <c r="V104" s="22">
        <v>1.7271399999999999</v>
      </c>
      <c r="W104" s="22">
        <v>115.426</v>
      </c>
      <c r="X104" s="38">
        <v>109.82599999999999</v>
      </c>
      <c r="Y104" s="37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6"/>
      <c r="AK104" s="66"/>
      <c r="AL104" s="66"/>
      <c r="AM104" s="22"/>
      <c r="AN104" s="22"/>
      <c r="AO104" s="22"/>
      <c r="AP104" s="22"/>
      <c r="AQ104" s="22"/>
      <c r="AR104" s="38"/>
      <c r="AS104" s="48"/>
      <c r="AT104" s="98"/>
      <c r="AU104" s="99"/>
      <c r="AV104" s="48"/>
      <c r="AW104" s="98"/>
      <c r="AX104" s="99"/>
      <c r="AY104" s="37">
        <f t="shared" si="46"/>
        <v>-2200851</v>
      </c>
      <c r="AZ104" s="64">
        <f t="shared" si="51"/>
        <v>-824739160</v>
      </c>
      <c r="BA104" s="64">
        <f t="shared" si="52"/>
        <v>-54553520</v>
      </c>
      <c r="BB104" s="64">
        <f t="shared" si="53"/>
        <v>-770158960</v>
      </c>
      <c r="BC104" s="64">
        <f t="shared" si="54"/>
        <v>-10400578</v>
      </c>
      <c r="BD104" s="64">
        <f t="shared" si="55"/>
        <v>-28877568</v>
      </c>
      <c r="BE104" s="64">
        <f t="shared" si="56"/>
        <v>-47368158</v>
      </c>
      <c r="BF104" s="64">
        <f t="shared" si="57"/>
        <v>-64861380</v>
      </c>
      <c r="BG104" s="64">
        <f t="shared" si="58"/>
        <v>-4769192</v>
      </c>
      <c r="BH104" s="64">
        <f t="shared" si="59"/>
        <v>-14783260</v>
      </c>
      <c r="BI104" s="64">
        <f t="shared" si="60"/>
        <v>-21479604</v>
      </c>
      <c r="BJ104" s="70">
        <f t="shared" si="61"/>
        <v>-52.7173258490932</v>
      </c>
      <c r="BK104" s="70">
        <f t="shared" si="62"/>
        <v>-56.710039271599697</v>
      </c>
      <c r="BL104" s="71">
        <f t="shared" si="66"/>
        <v>-0.99897221622904997</v>
      </c>
    </row>
    <row r="105" spans="1:64" x14ac:dyDescent="0.25">
      <c r="A105" s="245"/>
      <c r="B105" s="247" t="s">
        <v>1320</v>
      </c>
      <c r="C105" s="26" t="s">
        <v>45</v>
      </c>
      <c r="D105" s="43"/>
      <c r="E105" s="32">
        <v>2554150</v>
      </c>
      <c r="F105" s="58">
        <v>339833192</v>
      </c>
      <c r="G105" s="58">
        <v>59613912</v>
      </c>
      <c r="H105" s="58">
        <v>280192488</v>
      </c>
      <c r="I105" s="58">
        <v>3863500</v>
      </c>
      <c r="J105" s="58">
        <v>8753676</v>
      </c>
      <c r="K105" s="58">
        <v>13013450</v>
      </c>
      <c r="L105" s="58">
        <v>16279770</v>
      </c>
      <c r="M105" s="58">
        <v>3328012</v>
      </c>
      <c r="N105" s="58">
        <v>10136644</v>
      </c>
      <c r="O105" s="58">
        <v>14673070</v>
      </c>
      <c r="P105" s="59">
        <v>35.040046016422899</v>
      </c>
      <c r="Q105" s="59">
        <v>39.742626613943898</v>
      </c>
      <c r="R105" s="60">
        <v>0.98984666230632001</v>
      </c>
      <c r="S105" s="21">
        <v>129.637</v>
      </c>
      <c r="T105" s="21">
        <v>119.2</v>
      </c>
      <c r="U105" s="21">
        <v>6.0312799999999998</v>
      </c>
      <c r="V105" s="21">
        <v>2.05545</v>
      </c>
      <c r="W105" s="21">
        <v>119.47799999999999</v>
      </c>
      <c r="X105" s="33">
        <v>114.43600000000001</v>
      </c>
      <c r="Y105" s="32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60"/>
      <c r="AK105" s="60"/>
      <c r="AL105" s="60"/>
      <c r="AM105" s="21"/>
      <c r="AN105" s="21"/>
      <c r="AO105" s="21"/>
      <c r="AP105" s="21"/>
      <c r="AQ105" s="21"/>
      <c r="AR105" s="33"/>
      <c r="AS105" s="171" t="str">
        <f ca="1">bdRateHermiteNew(INDIRECT("F105:F109"), INDIRECT("P105:P109"), INDIRECT("Z105:Z109"), INDIRECT("AJ105:AJ109"))</f>
        <v>No Test</v>
      </c>
      <c r="AT105" s="172" t="str">
        <f ca="1">bdRateHermiteNew(INDIRECT("F105:F109"), INDIRECT("Q105:Q109"), INDIRECT("Z105:Z109"), INDIRECT("AK105:AK109"))</f>
        <v>No Test</v>
      </c>
      <c r="AU105" s="173" t="str">
        <f ca="1">bdRateHermiteNew(INDIRECT("F105:F109"), INDIRECT("R105:R109"), INDIRECT("Z105:Z109"), INDIRECT("AL105:AL109"))</f>
        <v>No Test</v>
      </c>
      <c r="AV105" s="171" t="str">
        <f ca="1">bdRateHermiteNew(INDIRECT("H105:H109"), INDIRECT("P105:P109"), INDIRECT("AB105:AB109"), INDIRECT("AJ105:AJ109"))</f>
        <v>No Test</v>
      </c>
      <c r="AW105" s="172" t="str">
        <f ca="1">bdRateHermiteNew(INDIRECT("H105:H109"), INDIRECT("Q105:Q109"), INDIRECT("AB105:AB109"), INDIRECT("AK105:AK109"))</f>
        <v>No Test</v>
      </c>
      <c r="AX105" s="173" t="str">
        <f ca="1">bdRateHermiteNew(INDIRECT("H105:H109"), INDIRECT("R105:R109"), INDIRECT("AB105:AB109"), INDIRECT("AL105:AL109"))</f>
        <v>No Test</v>
      </c>
      <c r="AY105" s="32">
        <f t="shared" si="46"/>
        <v>-2554150</v>
      </c>
      <c r="AZ105" s="58">
        <f t="shared" ref="AZ105:AZ119" si="67">Z105-F105</f>
        <v>-339833192</v>
      </c>
      <c r="BA105" s="58">
        <f t="shared" ref="BA105:BA119" si="68">AA105-G105</f>
        <v>-59613912</v>
      </c>
      <c r="BB105" s="58">
        <f t="shared" ref="BB105:BB119" si="69">AB105-H105</f>
        <v>-280192488</v>
      </c>
      <c r="BC105" s="58">
        <f t="shared" ref="BC105:BC119" si="70">AC105-I105</f>
        <v>-3863500</v>
      </c>
      <c r="BD105" s="58">
        <f t="shared" ref="BD105:BD119" si="71">AD105-J105</f>
        <v>-8753676</v>
      </c>
      <c r="BE105" s="58">
        <f t="shared" ref="BE105:BE119" si="72">AE105-K105</f>
        <v>-13013450</v>
      </c>
      <c r="BF105" s="58">
        <f t="shared" ref="BF105:BF119" si="73">AF105-L105</f>
        <v>-16279770</v>
      </c>
      <c r="BG105" s="58">
        <f t="shared" ref="BG105:BG119" si="74">AG105-M105</f>
        <v>-3328012</v>
      </c>
      <c r="BH105" s="58">
        <f t="shared" ref="BH105:BH119" si="75">AH105-N105</f>
        <v>-10136644</v>
      </c>
      <c r="BI105" s="58">
        <f t="shared" ref="BI105:BI119" si="76">AI105-O105</f>
        <v>-14673070</v>
      </c>
      <c r="BJ105" s="67">
        <f t="shared" ref="BJ105:BJ119" si="77">AJ105-P105</f>
        <v>-35.040046016422899</v>
      </c>
      <c r="BK105" s="67">
        <f t="shared" ref="BK105:BK119" si="78">AK105-Q105</f>
        <v>-39.742626613943898</v>
      </c>
      <c r="BL105" s="68">
        <f>AL105-R105</f>
        <v>-0.98984666230632001</v>
      </c>
    </row>
    <row r="106" spans="1:64" x14ac:dyDescent="0.25">
      <c r="A106" s="245"/>
      <c r="B106" s="248"/>
      <c r="C106" s="27" t="s">
        <v>46</v>
      </c>
      <c r="D106" s="183"/>
      <c r="E106" s="34">
        <v>2554150</v>
      </c>
      <c r="F106" s="61">
        <v>463952792</v>
      </c>
      <c r="G106" s="61">
        <v>59613912</v>
      </c>
      <c r="H106" s="61">
        <v>404312088</v>
      </c>
      <c r="I106" s="61">
        <v>5511032</v>
      </c>
      <c r="J106" s="61">
        <v>14029570</v>
      </c>
      <c r="K106" s="61">
        <v>21432840</v>
      </c>
      <c r="L106" s="61">
        <v>27572866</v>
      </c>
      <c r="M106" s="61">
        <v>3922644</v>
      </c>
      <c r="N106" s="61">
        <v>11778638</v>
      </c>
      <c r="O106" s="61">
        <v>16830432</v>
      </c>
      <c r="P106" s="62">
        <v>40.966312339381702</v>
      </c>
      <c r="Q106" s="62">
        <v>45.646583630314801</v>
      </c>
      <c r="R106" s="63">
        <v>0.99631027312449005</v>
      </c>
      <c r="S106" s="35">
        <v>132.35499999999999</v>
      </c>
      <c r="T106" s="35">
        <v>112.483</v>
      </c>
      <c r="U106" s="35">
        <v>5.9107000000000003</v>
      </c>
      <c r="V106" s="35">
        <v>1.93577</v>
      </c>
      <c r="W106" s="35">
        <v>122.78400000000001</v>
      </c>
      <c r="X106" s="36">
        <v>107.69799999999999</v>
      </c>
      <c r="Y106" s="34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3"/>
      <c r="AK106" s="63"/>
      <c r="AL106" s="63"/>
      <c r="AM106" s="35"/>
      <c r="AN106" s="35"/>
      <c r="AO106" s="35"/>
      <c r="AP106" s="35"/>
      <c r="AQ106" s="35"/>
      <c r="AR106" s="36"/>
      <c r="AS106" s="47"/>
      <c r="AT106" s="94"/>
      <c r="AU106" s="95"/>
      <c r="AV106" s="47"/>
      <c r="AW106" s="94"/>
      <c r="AX106" s="95"/>
      <c r="AY106" s="34">
        <f t="shared" si="46"/>
        <v>-2554150</v>
      </c>
      <c r="AZ106" s="61">
        <f t="shared" si="67"/>
        <v>-463952792</v>
      </c>
      <c r="BA106" s="61">
        <f t="shared" si="68"/>
        <v>-59613912</v>
      </c>
      <c r="BB106" s="61">
        <f t="shared" si="69"/>
        <v>-404312088</v>
      </c>
      <c r="BC106" s="61">
        <f t="shared" si="70"/>
        <v>-5511032</v>
      </c>
      <c r="BD106" s="61">
        <f t="shared" si="71"/>
        <v>-14029570</v>
      </c>
      <c r="BE106" s="61">
        <f t="shared" si="72"/>
        <v>-21432840</v>
      </c>
      <c r="BF106" s="61">
        <f t="shared" si="73"/>
        <v>-27572866</v>
      </c>
      <c r="BG106" s="61">
        <f t="shared" si="74"/>
        <v>-3922644</v>
      </c>
      <c r="BH106" s="61">
        <f t="shared" si="75"/>
        <v>-11778638</v>
      </c>
      <c r="BI106" s="61">
        <f t="shared" si="76"/>
        <v>-16830432</v>
      </c>
      <c r="BJ106" s="154">
        <f t="shared" si="77"/>
        <v>-40.966312339381702</v>
      </c>
      <c r="BK106" s="154">
        <f t="shared" si="78"/>
        <v>-45.646583630314801</v>
      </c>
      <c r="BL106" s="69">
        <f t="shared" ref="BL106:BL109" si="79">AL106-R106</f>
        <v>-0.99631027312449005</v>
      </c>
    </row>
    <row r="107" spans="1:64" x14ac:dyDescent="0.25">
      <c r="A107" s="245"/>
      <c r="B107" s="248"/>
      <c r="C107" s="27" t="s">
        <v>47</v>
      </c>
      <c r="D107" s="183"/>
      <c r="E107" s="34">
        <v>2554150</v>
      </c>
      <c r="F107" s="61">
        <v>610516368</v>
      </c>
      <c r="G107" s="61">
        <v>59613912</v>
      </c>
      <c r="H107" s="61">
        <v>550875664</v>
      </c>
      <c r="I107" s="61">
        <v>7233478</v>
      </c>
      <c r="J107" s="61">
        <v>20648470</v>
      </c>
      <c r="K107" s="61">
        <v>31768562</v>
      </c>
      <c r="L107" s="61">
        <v>41034246</v>
      </c>
      <c r="M107" s="61">
        <v>4405216</v>
      </c>
      <c r="N107" s="61">
        <v>13465102</v>
      </c>
      <c r="O107" s="61">
        <v>19163842</v>
      </c>
      <c r="P107" s="62">
        <v>46.2132233544691</v>
      </c>
      <c r="Q107" s="62">
        <v>50.760538029542097</v>
      </c>
      <c r="R107" s="63">
        <v>0.99820695407415005</v>
      </c>
      <c r="S107" s="35">
        <v>134.49700000000001</v>
      </c>
      <c r="T107" s="35">
        <v>126.18899999999999</v>
      </c>
      <c r="U107" s="35">
        <v>5.9339500000000003</v>
      </c>
      <c r="V107" s="35">
        <v>2.0626799999999998</v>
      </c>
      <c r="W107" s="35">
        <v>124.9</v>
      </c>
      <c r="X107" s="36">
        <v>120.471</v>
      </c>
      <c r="Y107" s="34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3"/>
      <c r="AK107" s="63"/>
      <c r="AL107" s="63"/>
      <c r="AM107" s="35"/>
      <c r="AN107" s="35"/>
      <c r="AO107" s="35"/>
      <c r="AP107" s="35"/>
      <c r="AQ107" s="35"/>
      <c r="AR107" s="36"/>
      <c r="AS107" s="47"/>
      <c r="AT107" s="94"/>
      <c r="AU107" s="95"/>
      <c r="AV107" s="47"/>
      <c r="AW107" s="94"/>
      <c r="AX107" s="95"/>
      <c r="AY107" s="34">
        <f t="shared" si="46"/>
        <v>-2554150</v>
      </c>
      <c r="AZ107" s="61">
        <f t="shared" si="67"/>
        <v>-610516368</v>
      </c>
      <c r="BA107" s="61">
        <f t="shared" si="68"/>
        <v>-59613912</v>
      </c>
      <c r="BB107" s="61">
        <f t="shared" si="69"/>
        <v>-550875664</v>
      </c>
      <c r="BC107" s="61">
        <f t="shared" si="70"/>
        <v>-7233478</v>
      </c>
      <c r="BD107" s="61">
        <f t="shared" si="71"/>
        <v>-20648470</v>
      </c>
      <c r="BE107" s="61">
        <f t="shared" si="72"/>
        <v>-31768562</v>
      </c>
      <c r="BF107" s="61">
        <f t="shared" si="73"/>
        <v>-41034246</v>
      </c>
      <c r="BG107" s="61">
        <f t="shared" si="74"/>
        <v>-4405216</v>
      </c>
      <c r="BH107" s="61">
        <f t="shared" si="75"/>
        <v>-13465102</v>
      </c>
      <c r="BI107" s="61">
        <f t="shared" si="76"/>
        <v>-19163842</v>
      </c>
      <c r="BJ107" s="154">
        <f t="shared" si="77"/>
        <v>-46.2132233544691</v>
      </c>
      <c r="BK107" s="154">
        <f t="shared" si="78"/>
        <v>-50.760538029542097</v>
      </c>
      <c r="BL107" s="69">
        <f t="shared" si="79"/>
        <v>-0.99820695407415005</v>
      </c>
    </row>
    <row r="108" spans="1:64" x14ac:dyDescent="0.25">
      <c r="A108" s="245"/>
      <c r="B108" s="248"/>
      <c r="C108" s="27" t="s">
        <v>48</v>
      </c>
      <c r="D108" s="183"/>
      <c r="E108" s="34">
        <v>2554150</v>
      </c>
      <c r="F108" s="61">
        <v>769260744</v>
      </c>
      <c r="G108" s="61">
        <v>59613912</v>
      </c>
      <c r="H108" s="61">
        <v>709620152</v>
      </c>
      <c r="I108" s="61">
        <v>9113670</v>
      </c>
      <c r="J108" s="61">
        <v>27547646</v>
      </c>
      <c r="K108" s="61">
        <v>42782570</v>
      </c>
      <c r="L108" s="61">
        <v>56094796</v>
      </c>
      <c r="M108" s="61">
        <v>4981642</v>
      </c>
      <c r="N108" s="61">
        <v>15252358</v>
      </c>
      <c r="O108" s="61">
        <v>21632356</v>
      </c>
      <c r="P108" s="62">
        <v>50.124323598049898</v>
      </c>
      <c r="Q108" s="62">
        <v>54.399744345224001</v>
      </c>
      <c r="R108" s="63">
        <v>0.99873796992707997</v>
      </c>
      <c r="S108" s="35">
        <v>122.563</v>
      </c>
      <c r="T108" s="35">
        <v>129.55699999999999</v>
      </c>
      <c r="U108" s="35">
        <v>5.2213900000000004</v>
      </c>
      <c r="V108" s="35">
        <v>2.0510299999999999</v>
      </c>
      <c r="W108" s="35">
        <v>113.85899999999999</v>
      </c>
      <c r="X108" s="36">
        <v>123.327</v>
      </c>
      <c r="Y108" s="34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3"/>
      <c r="AK108" s="63"/>
      <c r="AL108" s="63"/>
      <c r="AM108" s="35"/>
      <c r="AN108" s="35"/>
      <c r="AO108" s="35"/>
      <c r="AP108" s="35"/>
      <c r="AQ108" s="35"/>
      <c r="AR108" s="36"/>
      <c r="AS108" s="47"/>
      <c r="AT108" s="94"/>
      <c r="AU108" s="95"/>
      <c r="AV108" s="47"/>
      <c r="AW108" s="94"/>
      <c r="AX108" s="95"/>
      <c r="AY108" s="34">
        <f t="shared" si="46"/>
        <v>-2554150</v>
      </c>
      <c r="AZ108" s="61">
        <f t="shared" si="67"/>
        <v>-769260744</v>
      </c>
      <c r="BA108" s="61">
        <f t="shared" si="68"/>
        <v>-59613912</v>
      </c>
      <c r="BB108" s="61">
        <f t="shared" si="69"/>
        <v>-709620152</v>
      </c>
      <c r="BC108" s="61">
        <f t="shared" si="70"/>
        <v>-9113670</v>
      </c>
      <c r="BD108" s="61">
        <f t="shared" si="71"/>
        <v>-27547646</v>
      </c>
      <c r="BE108" s="61">
        <f t="shared" si="72"/>
        <v>-42782570</v>
      </c>
      <c r="BF108" s="61">
        <f t="shared" si="73"/>
        <v>-56094796</v>
      </c>
      <c r="BG108" s="61">
        <f t="shared" si="74"/>
        <v>-4981642</v>
      </c>
      <c r="BH108" s="61">
        <f t="shared" si="75"/>
        <v>-15252358</v>
      </c>
      <c r="BI108" s="61">
        <f t="shared" si="76"/>
        <v>-21632356</v>
      </c>
      <c r="BJ108" s="154">
        <f t="shared" si="77"/>
        <v>-50.124323598049898</v>
      </c>
      <c r="BK108" s="154">
        <f t="shared" si="78"/>
        <v>-54.399744345224001</v>
      </c>
      <c r="BL108" s="69">
        <f t="shared" si="79"/>
        <v>-0.99873796992707997</v>
      </c>
    </row>
    <row r="109" spans="1:64" ht="15.75" thickBot="1" x14ac:dyDescent="0.3">
      <c r="A109" s="245"/>
      <c r="B109" s="249"/>
      <c r="C109" s="28" t="s">
        <v>49</v>
      </c>
      <c r="D109" s="44"/>
      <c r="E109" s="37">
        <v>2554150</v>
      </c>
      <c r="F109" s="64">
        <v>917447696</v>
      </c>
      <c r="G109" s="64">
        <v>59613912</v>
      </c>
      <c r="H109" s="64">
        <v>857807104</v>
      </c>
      <c r="I109" s="64">
        <v>11112598</v>
      </c>
      <c r="J109" s="64">
        <v>33057016</v>
      </c>
      <c r="K109" s="64">
        <v>52528910</v>
      </c>
      <c r="L109" s="64">
        <v>70802212</v>
      </c>
      <c r="M109" s="64">
        <v>5603084</v>
      </c>
      <c r="N109" s="64">
        <v>17152198</v>
      </c>
      <c r="O109" s="64">
        <v>24195758</v>
      </c>
      <c r="P109" s="65">
        <v>52.310096174756403</v>
      </c>
      <c r="Q109" s="65">
        <v>56.360470189101903</v>
      </c>
      <c r="R109" s="66">
        <v>0.99895911204682997</v>
      </c>
      <c r="S109" s="22">
        <v>135.691</v>
      </c>
      <c r="T109" s="22">
        <v>129.511</v>
      </c>
      <c r="U109" s="22">
        <v>5.6471099999999996</v>
      </c>
      <c r="V109" s="22">
        <v>2.0879300000000001</v>
      </c>
      <c r="W109" s="22">
        <v>126.282</v>
      </c>
      <c r="X109" s="38">
        <v>122.938</v>
      </c>
      <c r="Y109" s="37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6"/>
      <c r="AK109" s="66"/>
      <c r="AL109" s="66"/>
      <c r="AM109" s="22"/>
      <c r="AN109" s="22"/>
      <c r="AO109" s="22"/>
      <c r="AP109" s="22"/>
      <c r="AQ109" s="22"/>
      <c r="AR109" s="38"/>
      <c r="AS109" s="48"/>
      <c r="AT109" s="98"/>
      <c r="AU109" s="99"/>
      <c r="AV109" s="48"/>
      <c r="AW109" s="98"/>
      <c r="AX109" s="99"/>
      <c r="AY109" s="37">
        <f t="shared" si="46"/>
        <v>-2554150</v>
      </c>
      <c r="AZ109" s="64">
        <f t="shared" si="67"/>
        <v>-917447696</v>
      </c>
      <c r="BA109" s="64">
        <f t="shared" si="68"/>
        <v>-59613912</v>
      </c>
      <c r="BB109" s="64">
        <f t="shared" si="69"/>
        <v>-857807104</v>
      </c>
      <c r="BC109" s="64">
        <f t="shared" si="70"/>
        <v>-11112598</v>
      </c>
      <c r="BD109" s="64">
        <f t="shared" si="71"/>
        <v>-33057016</v>
      </c>
      <c r="BE109" s="64">
        <f t="shared" si="72"/>
        <v>-52528910</v>
      </c>
      <c r="BF109" s="64">
        <f t="shared" si="73"/>
        <v>-70802212</v>
      </c>
      <c r="BG109" s="64">
        <f t="shared" si="74"/>
        <v>-5603084</v>
      </c>
      <c r="BH109" s="64">
        <f t="shared" si="75"/>
        <v>-17152198</v>
      </c>
      <c r="BI109" s="64">
        <f t="shared" si="76"/>
        <v>-24195758</v>
      </c>
      <c r="BJ109" s="70">
        <f t="shared" si="77"/>
        <v>-52.310096174756403</v>
      </c>
      <c r="BK109" s="70">
        <f t="shared" si="78"/>
        <v>-56.360470189101903</v>
      </c>
      <c r="BL109" s="71">
        <f t="shared" si="79"/>
        <v>-0.99895911204682997</v>
      </c>
    </row>
    <row r="110" spans="1:64" x14ac:dyDescent="0.25">
      <c r="A110" s="245"/>
      <c r="B110" s="247" t="s">
        <v>1321</v>
      </c>
      <c r="C110" s="26" t="s">
        <v>45</v>
      </c>
      <c r="D110" s="43"/>
      <c r="E110" s="32">
        <v>1770550</v>
      </c>
      <c r="F110" s="58">
        <v>246651088</v>
      </c>
      <c r="G110" s="58">
        <v>42934160</v>
      </c>
      <c r="H110" s="58">
        <v>203701288</v>
      </c>
      <c r="I110" s="58">
        <v>6645092</v>
      </c>
      <c r="J110" s="58">
        <v>11958252</v>
      </c>
      <c r="K110" s="58">
        <v>19350512</v>
      </c>
      <c r="L110" s="58">
        <v>24239724</v>
      </c>
      <c r="M110" s="58">
        <v>4577784</v>
      </c>
      <c r="N110" s="58">
        <v>14133824</v>
      </c>
      <c r="O110" s="58">
        <v>20945456</v>
      </c>
      <c r="P110" s="59">
        <v>34.871197890474598</v>
      </c>
      <c r="Q110" s="59">
        <v>39.552517168810603</v>
      </c>
      <c r="R110" s="60">
        <v>0.99054858175895</v>
      </c>
      <c r="S110" s="21">
        <v>91.389799999999994</v>
      </c>
      <c r="T110" s="21">
        <v>80.617900000000006</v>
      </c>
      <c r="U110" s="21">
        <v>4.5742900000000004</v>
      </c>
      <c r="V110" s="21">
        <v>1.42547</v>
      </c>
      <c r="W110" s="21">
        <v>84.363100000000003</v>
      </c>
      <c r="X110" s="33">
        <v>77.214399999999998</v>
      </c>
      <c r="Y110" s="32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60"/>
      <c r="AK110" s="60"/>
      <c r="AL110" s="60"/>
      <c r="AM110" s="21"/>
      <c r="AN110" s="21"/>
      <c r="AO110" s="21"/>
      <c r="AP110" s="21"/>
      <c r="AQ110" s="21"/>
      <c r="AR110" s="33"/>
      <c r="AS110" s="171" t="str">
        <f ca="1">bdRateHermiteNew(INDIRECT("F110:F114"), INDIRECT("P110:P114"), INDIRECT("Z110:Z114"), INDIRECT("AJ110:AJ114"))</f>
        <v>No Test</v>
      </c>
      <c r="AT110" s="172" t="str">
        <f ca="1">bdRateHermiteNew(INDIRECT("F110:F114"), INDIRECT("Q110:Q114"), INDIRECT("Z110:Z114"), INDIRECT("AK110:AK114"))</f>
        <v>No Test</v>
      </c>
      <c r="AU110" s="173" t="str">
        <f ca="1">bdRateHermiteNew(INDIRECT("F110:F114"), INDIRECT("R110:R114"), INDIRECT("Z110:Z114"), INDIRECT("AL110:AL114"))</f>
        <v>No Test</v>
      </c>
      <c r="AV110" s="171" t="str">
        <f ca="1">bdRateHermiteNew(INDIRECT("H110:H114"), INDIRECT("P110:P114"), INDIRECT("AB110:AB114"), INDIRECT("AJ110:AJ114"))</f>
        <v>No Test</v>
      </c>
      <c r="AW110" s="172" t="str">
        <f ca="1">bdRateHermiteNew(INDIRECT("H110:H114"), INDIRECT("Q110:Q114"), INDIRECT("AB110:AB114"), INDIRECT("AK110:AK114"))</f>
        <v>No Test</v>
      </c>
      <c r="AX110" s="173" t="str">
        <f ca="1">bdRateHermiteNew(INDIRECT("H110:H114"), INDIRECT("R110:R114"), INDIRECT("AB110:AB114"), INDIRECT("AL110:AL114"))</f>
        <v>No Test</v>
      </c>
      <c r="AY110" s="32">
        <f t="shared" si="46"/>
        <v>-1770550</v>
      </c>
      <c r="AZ110" s="58">
        <f t="shared" si="67"/>
        <v>-246651088</v>
      </c>
      <c r="BA110" s="58">
        <f t="shared" si="68"/>
        <v>-42934160</v>
      </c>
      <c r="BB110" s="58">
        <f t="shared" si="69"/>
        <v>-203701288</v>
      </c>
      <c r="BC110" s="58">
        <f t="shared" si="70"/>
        <v>-6645092</v>
      </c>
      <c r="BD110" s="58">
        <f t="shared" si="71"/>
        <v>-11958252</v>
      </c>
      <c r="BE110" s="58">
        <f t="shared" si="72"/>
        <v>-19350512</v>
      </c>
      <c r="BF110" s="58">
        <f t="shared" si="73"/>
        <v>-24239724</v>
      </c>
      <c r="BG110" s="58">
        <f t="shared" si="74"/>
        <v>-4577784</v>
      </c>
      <c r="BH110" s="58">
        <f t="shared" si="75"/>
        <v>-14133824</v>
      </c>
      <c r="BI110" s="58">
        <f t="shared" si="76"/>
        <v>-20945456</v>
      </c>
      <c r="BJ110" s="67">
        <f t="shared" si="77"/>
        <v>-34.871197890474598</v>
      </c>
      <c r="BK110" s="67">
        <f t="shared" si="78"/>
        <v>-39.552517168810603</v>
      </c>
      <c r="BL110" s="68">
        <f>AL110-R110</f>
        <v>-0.99054858175895</v>
      </c>
    </row>
    <row r="111" spans="1:64" x14ac:dyDescent="0.25">
      <c r="A111" s="245"/>
      <c r="B111" s="248"/>
      <c r="C111" s="27" t="s">
        <v>46</v>
      </c>
      <c r="D111" s="183"/>
      <c r="E111" s="34">
        <v>1770550</v>
      </c>
      <c r="F111" s="61">
        <v>334906768</v>
      </c>
      <c r="G111" s="61">
        <v>42934160</v>
      </c>
      <c r="H111" s="61">
        <v>291956968</v>
      </c>
      <c r="I111" s="61">
        <v>9198184</v>
      </c>
      <c r="J111" s="61">
        <v>19179308</v>
      </c>
      <c r="K111" s="61">
        <v>31266500</v>
      </c>
      <c r="L111" s="61">
        <v>40438032</v>
      </c>
      <c r="M111" s="61">
        <v>5423224</v>
      </c>
      <c r="N111" s="61">
        <v>16448892</v>
      </c>
      <c r="O111" s="61">
        <v>24024344</v>
      </c>
      <c r="P111" s="62">
        <v>40.7032587108597</v>
      </c>
      <c r="Q111" s="62">
        <v>45.362272616817798</v>
      </c>
      <c r="R111" s="63">
        <v>0.99653795683284996</v>
      </c>
      <c r="S111" s="35">
        <v>83.602199999999996</v>
      </c>
      <c r="T111" s="35">
        <v>84.486699999999999</v>
      </c>
      <c r="U111" s="35">
        <v>4.1829499999999999</v>
      </c>
      <c r="V111" s="35">
        <v>1.35327</v>
      </c>
      <c r="W111" s="35">
        <v>76.561999999999998</v>
      </c>
      <c r="X111" s="36">
        <v>81.100200000000001</v>
      </c>
      <c r="Y111" s="34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3"/>
      <c r="AK111" s="63"/>
      <c r="AL111" s="63"/>
      <c r="AM111" s="35"/>
      <c r="AN111" s="35"/>
      <c r="AO111" s="35"/>
      <c r="AP111" s="35"/>
      <c r="AQ111" s="35"/>
      <c r="AR111" s="36"/>
      <c r="AS111" s="47"/>
      <c r="AT111" s="94"/>
      <c r="AU111" s="95"/>
      <c r="AV111" s="47"/>
      <c r="AW111" s="94"/>
      <c r="AX111" s="95"/>
      <c r="AY111" s="34">
        <f t="shared" si="46"/>
        <v>-1770550</v>
      </c>
      <c r="AZ111" s="61">
        <f t="shared" si="67"/>
        <v>-334906768</v>
      </c>
      <c r="BA111" s="61">
        <f t="shared" si="68"/>
        <v>-42934160</v>
      </c>
      <c r="BB111" s="61">
        <f t="shared" si="69"/>
        <v>-291956968</v>
      </c>
      <c r="BC111" s="61">
        <f t="shared" si="70"/>
        <v>-9198184</v>
      </c>
      <c r="BD111" s="61">
        <f t="shared" si="71"/>
        <v>-19179308</v>
      </c>
      <c r="BE111" s="61">
        <f t="shared" si="72"/>
        <v>-31266500</v>
      </c>
      <c r="BF111" s="61">
        <f t="shared" si="73"/>
        <v>-40438032</v>
      </c>
      <c r="BG111" s="61">
        <f t="shared" si="74"/>
        <v>-5423224</v>
      </c>
      <c r="BH111" s="61">
        <f t="shared" si="75"/>
        <v>-16448892</v>
      </c>
      <c r="BI111" s="61">
        <f t="shared" si="76"/>
        <v>-24024344</v>
      </c>
      <c r="BJ111" s="154">
        <f t="shared" si="77"/>
        <v>-40.7032587108597</v>
      </c>
      <c r="BK111" s="154">
        <f t="shared" si="78"/>
        <v>-45.362272616817798</v>
      </c>
      <c r="BL111" s="69">
        <f t="shared" ref="BL111:BL114" si="80">AL111-R111</f>
        <v>-0.99653795683284996</v>
      </c>
    </row>
    <row r="112" spans="1:64" x14ac:dyDescent="0.25">
      <c r="A112" s="245"/>
      <c r="B112" s="248"/>
      <c r="C112" s="27" t="s">
        <v>47</v>
      </c>
      <c r="D112" s="183"/>
      <c r="E112" s="34">
        <v>1770550</v>
      </c>
      <c r="F112" s="61">
        <v>440084208</v>
      </c>
      <c r="G112" s="61">
        <v>42934160</v>
      </c>
      <c r="H112" s="61">
        <v>397134408</v>
      </c>
      <c r="I112" s="61">
        <v>11798908</v>
      </c>
      <c r="J112" s="61">
        <v>28309908</v>
      </c>
      <c r="K112" s="61">
        <v>46204584</v>
      </c>
      <c r="L112" s="61">
        <v>59992132</v>
      </c>
      <c r="M112" s="61">
        <v>6118528</v>
      </c>
      <c r="N112" s="61">
        <v>18765252</v>
      </c>
      <c r="O112" s="61">
        <v>27377892</v>
      </c>
      <c r="P112" s="62">
        <v>45.946107641447</v>
      </c>
      <c r="Q112" s="62">
        <v>50.4848879916076</v>
      </c>
      <c r="R112" s="63">
        <v>0.99824629931207998</v>
      </c>
      <c r="S112" s="35">
        <v>85.301900000000003</v>
      </c>
      <c r="T112" s="35">
        <v>82.422899999999998</v>
      </c>
      <c r="U112" s="35">
        <v>4.15923</v>
      </c>
      <c r="V112" s="35">
        <v>1.33971</v>
      </c>
      <c r="W112" s="35">
        <v>78.592600000000004</v>
      </c>
      <c r="X112" s="36">
        <v>78.814499999999995</v>
      </c>
      <c r="Y112" s="34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3"/>
      <c r="AK112" s="63"/>
      <c r="AL112" s="63"/>
      <c r="AM112" s="35"/>
      <c r="AN112" s="35"/>
      <c r="AO112" s="35"/>
      <c r="AP112" s="35"/>
      <c r="AQ112" s="35"/>
      <c r="AR112" s="36"/>
      <c r="AS112" s="47"/>
      <c r="AT112" s="94"/>
      <c r="AU112" s="95"/>
      <c r="AV112" s="47"/>
      <c r="AW112" s="94"/>
      <c r="AX112" s="95"/>
      <c r="AY112" s="34">
        <f t="shared" si="46"/>
        <v>-1770550</v>
      </c>
      <c r="AZ112" s="61">
        <f t="shared" si="67"/>
        <v>-440084208</v>
      </c>
      <c r="BA112" s="61">
        <f t="shared" si="68"/>
        <v>-42934160</v>
      </c>
      <c r="BB112" s="61">
        <f t="shared" si="69"/>
        <v>-397134408</v>
      </c>
      <c r="BC112" s="61">
        <f t="shared" si="70"/>
        <v>-11798908</v>
      </c>
      <c r="BD112" s="61">
        <f t="shared" si="71"/>
        <v>-28309908</v>
      </c>
      <c r="BE112" s="61">
        <f t="shared" si="72"/>
        <v>-46204584</v>
      </c>
      <c r="BF112" s="61">
        <f t="shared" si="73"/>
        <v>-59992132</v>
      </c>
      <c r="BG112" s="61">
        <f t="shared" si="74"/>
        <v>-6118528</v>
      </c>
      <c r="BH112" s="61">
        <f t="shared" si="75"/>
        <v>-18765252</v>
      </c>
      <c r="BI112" s="61">
        <f t="shared" si="76"/>
        <v>-27377892</v>
      </c>
      <c r="BJ112" s="154">
        <f t="shared" si="77"/>
        <v>-45.946107641447</v>
      </c>
      <c r="BK112" s="154">
        <f t="shared" si="78"/>
        <v>-50.4848879916076</v>
      </c>
      <c r="BL112" s="69">
        <f t="shared" si="80"/>
        <v>-0.99824629931207998</v>
      </c>
    </row>
    <row r="113" spans="1:64" x14ac:dyDescent="0.25">
      <c r="A113" s="245"/>
      <c r="B113" s="248"/>
      <c r="C113" s="27" t="s">
        <v>48</v>
      </c>
      <c r="D113" s="183"/>
      <c r="E113" s="34">
        <v>1770550</v>
      </c>
      <c r="F113" s="61">
        <v>554677000</v>
      </c>
      <c r="G113" s="61">
        <v>42934160</v>
      </c>
      <c r="H113" s="61">
        <v>511727312</v>
      </c>
      <c r="I113" s="61">
        <v>14480996</v>
      </c>
      <c r="J113" s="61">
        <v>38321500</v>
      </c>
      <c r="K113" s="61">
        <v>62432776</v>
      </c>
      <c r="L113" s="61">
        <v>81544864</v>
      </c>
      <c r="M113" s="61">
        <v>6916196</v>
      </c>
      <c r="N113" s="61">
        <v>21262580</v>
      </c>
      <c r="O113" s="61">
        <v>30904744</v>
      </c>
      <c r="P113" s="62">
        <v>49.861499357621</v>
      </c>
      <c r="Q113" s="62">
        <v>54.144513431760899</v>
      </c>
      <c r="R113" s="63">
        <v>0.99871312748926999</v>
      </c>
      <c r="S113" s="35">
        <v>97.931100000000001</v>
      </c>
      <c r="T113" s="35">
        <v>96.471400000000003</v>
      </c>
      <c r="U113" s="35">
        <v>4.5423600000000004</v>
      </c>
      <c r="V113" s="35">
        <v>1.3661799999999999</v>
      </c>
      <c r="W113" s="35">
        <v>90.304599999999994</v>
      </c>
      <c r="X113" s="36">
        <v>91.601399999999998</v>
      </c>
      <c r="Y113" s="34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3"/>
      <c r="AK113" s="63"/>
      <c r="AL113" s="63"/>
      <c r="AM113" s="35"/>
      <c r="AN113" s="35"/>
      <c r="AO113" s="35"/>
      <c r="AP113" s="35"/>
      <c r="AQ113" s="35"/>
      <c r="AR113" s="36"/>
      <c r="AS113" s="47"/>
      <c r="AT113" s="94"/>
      <c r="AU113" s="95"/>
      <c r="AV113" s="47"/>
      <c r="AW113" s="94"/>
      <c r="AX113" s="95"/>
      <c r="AY113" s="34">
        <f t="shared" si="46"/>
        <v>-1770550</v>
      </c>
      <c r="AZ113" s="61">
        <f t="shared" si="67"/>
        <v>-554677000</v>
      </c>
      <c r="BA113" s="61">
        <f t="shared" si="68"/>
        <v>-42934160</v>
      </c>
      <c r="BB113" s="61">
        <f t="shared" si="69"/>
        <v>-511727312</v>
      </c>
      <c r="BC113" s="61">
        <f t="shared" si="70"/>
        <v>-14480996</v>
      </c>
      <c r="BD113" s="61">
        <f t="shared" si="71"/>
        <v>-38321500</v>
      </c>
      <c r="BE113" s="61">
        <f t="shared" si="72"/>
        <v>-62432776</v>
      </c>
      <c r="BF113" s="61">
        <f t="shared" si="73"/>
        <v>-81544864</v>
      </c>
      <c r="BG113" s="61">
        <f t="shared" si="74"/>
        <v>-6916196</v>
      </c>
      <c r="BH113" s="61">
        <f t="shared" si="75"/>
        <v>-21262580</v>
      </c>
      <c r="BI113" s="61">
        <f t="shared" si="76"/>
        <v>-30904744</v>
      </c>
      <c r="BJ113" s="154">
        <f t="shared" si="77"/>
        <v>-49.861499357621</v>
      </c>
      <c r="BK113" s="154">
        <f t="shared" si="78"/>
        <v>-54.144513431760899</v>
      </c>
      <c r="BL113" s="69">
        <f t="shared" si="80"/>
        <v>-0.99871312748926999</v>
      </c>
    </row>
    <row r="114" spans="1:64" ht="15.75" thickBot="1" x14ac:dyDescent="0.3">
      <c r="A114" s="245"/>
      <c r="B114" s="249"/>
      <c r="C114" s="28" t="s">
        <v>49</v>
      </c>
      <c r="D114" s="44"/>
      <c r="E114" s="37">
        <v>1770550</v>
      </c>
      <c r="F114" s="64">
        <v>655464984</v>
      </c>
      <c r="G114" s="64">
        <v>42934160</v>
      </c>
      <c r="H114" s="64">
        <v>612515296</v>
      </c>
      <c r="I114" s="64">
        <v>17087308</v>
      </c>
      <c r="J114" s="64">
        <v>46094420</v>
      </c>
      <c r="K114" s="64">
        <v>75566452</v>
      </c>
      <c r="L114" s="64">
        <v>101383492</v>
      </c>
      <c r="M114" s="64">
        <v>7773588</v>
      </c>
      <c r="N114" s="64">
        <v>23894052</v>
      </c>
      <c r="O114" s="64">
        <v>34458336</v>
      </c>
      <c r="P114" s="65">
        <v>52.177836261734001</v>
      </c>
      <c r="Q114" s="65">
        <v>56.225958241624703</v>
      </c>
      <c r="R114" s="66">
        <v>0.99891275883530894</v>
      </c>
      <c r="S114" s="22">
        <v>86.743300000000005</v>
      </c>
      <c r="T114" s="22">
        <v>88.202500000000001</v>
      </c>
      <c r="U114" s="22">
        <v>4.10405</v>
      </c>
      <c r="V114" s="22">
        <v>1.5686500000000001</v>
      </c>
      <c r="W114" s="22">
        <v>80.341200000000001</v>
      </c>
      <c r="X114" s="38">
        <v>83.405799999999999</v>
      </c>
      <c r="Y114" s="37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6"/>
      <c r="AK114" s="66"/>
      <c r="AL114" s="66"/>
      <c r="AM114" s="22"/>
      <c r="AN114" s="22"/>
      <c r="AO114" s="22"/>
      <c r="AP114" s="22"/>
      <c r="AQ114" s="22"/>
      <c r="AR114" s="38"/>
      <c r="AS114" s="48"/>
      <c r="AT114" s="98"/>
      <c r="AU114" s="99"/>
      <c r="AV114" s="48"/>
      <c r="AW114" s="98"/>
      <c r="AX114" s="99"/>
      <c r="AY114" s="37">
        <f t="shared" si="46"/>
        <v>-1770550</v>
      </c>
      <c r="AZ114" s="64">
        <f t="shared" si="67"/>
        <v>-655464984</v>
      </c>
      <c r="BA114" s="64">
        <f t="shared" si="68"/>
        <v>-42934160</v>
      </c>
      <c r="BB114" s="64">
        <f t="shared" si="69"/>
        <v>-612515296</v>
      </c>
      <c r="BC114" s="64">
        <f t="shared" si="70"/>
        <v>-17087308</v>
      </c>
      <c r="BD114" s="64">
        <f t="shared" si="71"/>
        <v>-46094420</v>
      </c>
      <c r="BE114" s="64">
        <f t="shared" si="72"/>
        <v>-75566452</v>
      </c>
      <c r="BF114" s="64">
        <f t="shared" si="73"/>
        <v>-101383492</v>
      </c>
      <c r="BG114" s="64">
        <f t="shared" si="74"/>
        <v>-7773588</v>
      </c>
      <c r="BH114" s="64">
        <f t="shared" si="75"/>
        <v>-23894052</v>
      </c>
      <c r="BI114" s="64">
        <f t="shared" si="76"/>
        <v>-34458336</v>
      </c>
      <c r="BJ114" s="70">
        <f t="shared" si="77"/>
        <v>-52.177836261734001</v>
      </c>
      <c r="BK114" s="70">
        <f t="shared" si="78"/>
        <v>-56.225958241624703</v>
      </c>
      <c r="BL114" s="71">
        <f t="shared" si="80"/>
        <v>-0.99891275883530894</v>
      </c>
    </row>
    <row r="115" spans="1:64" x14ac:dyDescent="0.25">
      <c r="A115" s="245"/>
      <c r="B115" s="247" t="s">
        <v>1322</v>
      </c>
      <c r="C115" s="26" t="s">
        <v>45</v>
      </c>
      <c r="D115" s="43"/>
      <c r="E115" s="32">
        <v>1972252</v>
      </c>
      <c r="F115" s="58">
        <v>269465272</v>
      </c>
      <c r="G115" s="58">
        <v>46255400</v>
      </c>
      <c r="H115" s="58">
        <v>223194232</v>
      </c>
      <c r="I115" s="58">
        <v>6956756</v>
      </c>
      <c r="J115" s="58">
        <v>13317096</v>
      </c>
      <c r="K115" s="58">
        <v>20829136</v>
      </c>
      <c r="L115" s="58">
        <v>27850852</v>
      </c>
      <c r="M115" s="58">
        <v>4833160</v>
      </c>
      <c r="N115" s="58">
        <v>15865080</v>
      </c>
      <c r="O115" s="58">
        <v>21945036</v>
      </c>
      <c r="P115" s="59">
        <v>34.335925613845497</v>
      </c>
      <c r="Q115" s="59">
        <v>39.010006465911601</v>
      </c>
      <c r="R115" s="60">
        <v>0.98834085892287504</v>
      </c>
      <c r="S115" s="21">
        <v>89.496399999999994</v>
      </c>
      <c r="T115" s="21">
        <v>91.878699999999995</v>
      </c>
      <c r="U115" s="21">
        <v>4.7905199999999999</v>
      </c>
      <c r="V115" s="21">
        <v>1.51241</v>
      </c>
      <c r="W115" s="21">
        <v>81.883700000000005</v>
      </c>
      <c r="X115" s="33">
        <v>88.122399999999999</v>
      </c>
      <c r="Y115" s="32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60"/>
      <c r="AK115" s="60"/>
      <c r="AL115" s="60"/>
      <c r="AM115" s="21"/>
      <c r="AN115" s="21"/>
      <c r="AO115" s="21"/>
      <c r="AP115" s="21"/>
      <c r="AQ115" s="21"/>
      <c r="AR115" s="33"/>
      <c r="AS115" s="171" t="str">
        <f ca="1">bdRateHermiteNew(INDIRECT("F115:F119"), INDIRECT("P115:P119"), INDIRECT("Z115:Z119"), INDIRECT("AJ115:AJ119"))</f>
        <v>No Test</v>
      </c>
      <c r="AT115" s="172" t="str">
        <f ca="1">bdRateHermiteNew(INDIRECT("F115:F119"), INDIRECT("Q115:Q119"), INDIRECT("Z115:Z119"), INDIRECT("AK115:AK119"))</f>
        <v>No Test</v>
      </c>
      <c r="AU115" s="173" t="str">
        <f ca="1">bdRateHermiteNew(INDIRECT("F115:F119"), INDIRECT("R115:R119"), INDIRECT("Z115:Z119"), INDIRECT("AL115:AL119"))</f>
        <v>No Test</v>
      </c>
      <c r="AV115" s="171" t="str">
        <f ca="1">bdRateHermiteNew(INDIRECT("H115:H119"), INDIRECT("P115:P119"), INDIRECT("AB115:AB119"), INDIRECT("AJ115:AJ119"))</f>
        <v>No Test</v>
      </c>
      <c r="AW115" s="172" t="str">
        <f ca="1">bdRateHermiteNew(INDIRECT("H115:H119"), INDIRECT("Q115:Q119"), INDIRECT("AB115:AB119"), INDIRECT("AK115:AK119"))</f>
        <v>No Test</v>
      </c>
      <c r="AX115" s="173" t="str">
        <f ca="1">bdRateHermiteNew(INDIRECT("H115:H119"), INDIRECT("R115:R119"), INDIRECT("AB115:AB119"), INDIRECT("AL115:AL119"))</f>
        <v>No Test</v>
      </c>
      <c r="AY115" s="32">
        <f t="shared" si="46"/>
        <v>-1972252</v>
      </c>
      <c r="AZ115" s="58">
        <f t="shared" si="67"/>
        <v>-269465272</v>
      </c>
      <c r="BA115" s="58">
        <f t="shared" si="68"/>
        <v>-46255400</v>
      </c>
      <c r="BB115" s="58">
        <f t="shared" si="69"/>
        <v>-223194232</v>
      </c>
      <c r="BC115" s="58">
        <f t="shared" si="70"/>
        <v>-6956756</v>
      </c>
      <c r="BD115" s="58">
        <f t="shared" si="71"/>
        <v>-13317096</v>
      </c>
      <c r="BE115" s="58">
        <f t="shared" si="72"/>
        <v>-20829136</v>
      </c>
      <c r="BF115" s="58">
        <f t="shared" si="73"/>
        <v>-27850852</v>
      </c>
      <c r="BG115" s="58">
        <f t="shared" si="74"/>
        <v>-4833160</v>
      </c>
      <c r="BH115" s="58">
        <f t="shared" si="75"/>
        <v>-15865080</v>
      </c>
      <c r="BI115" s="58">
        <f t="shared" si="76"/>
        <v>-21945036</v>
      </c>
      <c r="BJ115" s="67">
        <f t="shared" si="77"/>
        <v>-34.335925613845497</v>
      </c>
      <c r="BK115" s="67">
        <f t="shared" si="78"/>
        <v>-39.010006465911601</v>
      </c>
      <c r="BL115" s="68">
        <f>AL115-R115</f>
        <v>-0.98834085892287504</v>
      </c>
    </row>
    <row r="116" spans="1:64" x14ac:dyDescent="0.25">
      <c r="A116" s="245"/>
      <c r="B116" s="248"/>
      <c r="C116" s="27" t="s">
        <v>46</v>
      </c>
      <c r="D116" s="183"/>
      <c r="E116" s="34">
        <v>1972252</v>
      </c>
      <c r="F116" s="61">
        <v>367533480</v>
      </c>
      <c r="G116" s="61">
        <v>46255400</v>
      </c>
      <c r="H116" s="61">
        <v>321262440</v>
      </c>
      <c r="I116" s="61">
        <v>9845224</v>
      </c>
      <c r="J116" s="61">
        <v>21381484</v>
      </c>
      <c r="K116" s="61">
        <v>33965512</v>
      </c>
      <c r="L116" s="61">
        <v>45952032</v>
      </c>
      <c r="M116" s="61">
        <v>5861804</v>
      </c>
      <c r="N116" s="61">
        <v>18412460</v>
      </c>
      <c r="O116" s="61">
        <v>25212704</v>
      </c>
      <c r="P116" s="62">
        <v>40.294992814371</v>
      </c>
      <c r="Q116" s="62">
        <v>44.927062243384697</v>
      </c>
      <c r="R116" s="63">
        <v>0.99588848725767498</v>
      </c>
      <c r="S116" s="35">
        <v>105.65300000000001</v>
      </c>
      <c r="T116" s="35">
        <v>94.373800000000003</v>
      </c>
      <c r="U116" s="35">
        <v>5.28104</v>
      </c>
      <c r="V116" s="35">
        <v>1.48742</v>
      </c>
      <c r="W116" s="35">
        <v>97.180400000000006</v>
      </c>
      <c r="X116" s="36">
        <v>90.600300000000004</v>
      </c>
      <c r="Y116" s="34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3"/>
      <c r="AK116" s="63"/>
      <c r="AL116" s="63"/>
      <c r="AM116" s="35"/>
      <c r="AN116" s="35"/>
      <c r="AO116" s="35"/>
      <c r="AP116" s="35"/>
      <c r="AQ116" s="35"/>
      <c r="AR116" s="36"/>
      <c r="AS116" s="47"/>
      <c r="AT116" s="94"/>
      <c r="AU116" s="95"/>
      <c r="AV116" s="47"/>
      <c r="AW116" s="94"/>
      <c r="AX116" s="95"/>
      <c r="AY116" s="34">
        <f t="shared" si="46"/>
        <v>-1972252</v>
      </c>
      <c r="AZ116" s="61">
        <f t="shared" si="67"/>
        <v>-367533480</v>
      </c>
      <c r="BA116" s="61">
        <f t="shared" si="68"/>
        <v>-46255400</v>
      </c>
      <c r="BB116" s="61">
        <f t="shared" si="69"/>
        <v>-321262440</v>
      </c>
      <c r="BC116" s="61">
        <f t="shared" si="70"/>
        <v>-9845224</v>
      </c>
      <c r="BD116" s="61">
        <f t="shared" si="71"/>
        <v>-21381484</v>
      </c>
      <c r="BE116" s="61">
        <f t="shared" si="72"/>
        <v>-33965512</v>
      </c>
      <c r="BF116" s="61">
        <f t="shared" si="73"/>
        <v>-45952032</v>
      </c>
      <c r="BG116" s="61">
        <f t="shared" si="74"/>
        <v>-5861804</v>
      </c>
      <c r="BH116" s="61">
        <f t="shared" si="75"/>
        <v>-18412460</v>
      </c>
      <c r="BI116" s="61">
        <f t="shared" si="76"/>
        <v>-25212704</v>
      </c>
      <c r="BJ116" s="154">
        <f t="shared" si="77"/>
        <v>-40.294992814371</v>
      </c>
      <c r="BK116" s="154">
        <f t="shared" si="78"/>
        <v>-44.927062243384697</v>
      </c>
      <c r="BL116" s="69">
        <f t="shared" ref="BL116:BL119" si="81">AL116-R116</f>
        <v>-0.99588848725767498</v>
      </c>
    </row>
    <row r="117" spans="1:64" x14ac:dyDescent="0.25">
      <c r="A117" s="245"/>
      <c r="B117" s="248"/>
      <c r="C117" s="27" t="s">
        <v>47</v>
      </c>
      <c r="D117" s="183"/>
      <c r="E117" s="34">
        <v>1972252</v>
      </c>
      <c r="F117" s="61">
        <v>484899656</v>
      </c>
      <c r="G117" s="61">
        <v>46255400</v>
      </c>
      <c r="H117" s="61">
        <v>438628616</v>
      </c>
      <c r="I117" s="61">
        <v>12800928</v>
      </c>
      <c r="J117" s="61">
        <v>31643084</v>
      </c>
      <c r="K117" s="61">
        <v>50410972</v>
      </c>
      <c r="L117" s="61">
        <v>67984668</v>
      </c>
      <c r="M117" s="61">
        <v>6604764</v>
      </c>
      <c r="N117" s="61">
        <v>21081216</v>
      </c>
      <c r="O117" s="61">
        <v>28788676</v>
      </c>
      <c r="P117" s="62">
        <v>45.604727727052598</v>
      </c>
      <c r="Q117" s="62">
        <v>50.1253187194961</v>
      </c>
      <c r="R117" s="63">
        <v>0.99806025821966604</v>
      </c>
      <c r="S117" s="35">
        <v>105.879</v>
      </c>
      <c r="T117" s="35">
        <v>97.453000000000003</v>
      </c>
      <c r="U117" s="35">
        <v>5.2299199999999999</v>
      </c>
      <c r="V117" s="35">
        <v>1.50667</v>
      </c>
      <c r="W117" s="35">
        <v>97.192599999999999</v>
      </c>
      <c r="X117" s="36">
        <v>92.953500000000005</v>
      </c>
      <c r="Y117" s="34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3"/>
      <c r="AK117" s="63"/>
      <c r="AL117" s="63"/>
      <c r="AM117" s="35"/>
      <c r="AN117" s="35"/>
      <c r="AO117" s="35"/>
      <c r="AP117" s="35"/>
      <c r="AQ117" s="35"/>
      <c r="AR117" s="36"/>
      <c r="AS117" s="47"/>
      <c r="AT117" s="94"/>
      <c r="AU117" s="95"/>
      <c r="AV117" s="47"/>
      <c r="AW117" s="94"/>
      <c r="AX117" s="95"/>
      <c r="AY117" s="34">
        <f t="shared" si="46"/>
        <v>-1972252</v>
      </c>
      <c r="AZ117" s="61">
        <f t="shared" si="67"/>
        <v>-484899656</v>
      </c>
      <c r="BA117" s="61">
        <f t="shared" si="68"/>
        <v>-46255400</v>
      </c>
      <c r="BB117" s="61">
        <f t="shared" si="69"/>
        <v>-438628616</v>
      </c>
      <c r="BC117" s="61">
        <f t="shared" si="70"/>
        <v>-12800928</v>
      </c>
      <c r="BD117" s="61">
        <f t="shared" si="71"/>
        <v>-31643084</v>
      </c>
      <c r="BE117" s="61">
        <f t="shared" si="72"/>
        <v>-50410972</v>
      </c>
      <c r="BF117" s="61">
        <f t="shared" si="73"/>
        <v>-67984668</v>
      </c>
      <c r="BG117" s="61">
        <f t="shared" si="74"/>
        <v>-6604764</v>
      </c>
      <c r="BH117" s="61">
        <f t="shared" si="75"/>
        <v>-21081216</v>
      </c>
      <c r="BI117" s="61">
        <f t="shared" si="76"/>
        <v>-28788676</v>
      </c>
      <c r="BJ117" s="154">
        <f t="shared" si="77"/>
        <v>-45.604727727052598</v>
      </c>
      <c r="BK117" s="154">
        <f t="shared" si="78"/>
        <v>-50.1253187194961</v>
      </c>
      <c r="BL117" s="69">
        <f t="shared" si="81"/>
        <v>-0.99806025821966604</v>
      </c>
    </row>
    <row r="118" spans="1:64" x14ac:dyDescent="0.25">
      <c r="A118" s="245"/>
      <c r="B118" s="248"/>
      <c r="C118" s="27" t="s">
        <v>48</v>
      </c>
      <c r="D118" s="183"/>
      <c r="E118" s="34">
        <v>1972252</v>
      </c>
      <c r="F118" s="61">
        <v>612865880</v>
      </c>
      <c r="G118" s="61">
        <v>46255400</v>
      </c>
      <c r="H118" s="61">
        <v>566594952</v>
      </c>
      <c r="I118" s="61">
        <v>15812236</v>
      </c>
      <c r="J118" s="61">
        <v>42601068</v>
      </c>
      <c r="K118" s="61">
        <v>68231244</v>
      </c>
      <c r="L118" s="61">
        <v>92774204</v>
      </c>
      <c r="M118" s="61">
        <v>7449508</v>
      </c>
      <c r="N118" s="61">
        <v>23868972</v>
      </c>
      <c r="O118" s="61">
        <v>32560244</v>
      </c>
      <c r="P118" s="62">
        <v>49.636213474856099</v>
      </c>
      <c r="Q118" s="62">
        <v>53.899667094798502</v>
      </c>
      <c r="R118" s="63">
        <v>0.99865157181664099</v>
      </c>
      <c r="S118" s="35">
        <v>109.223</v>
      </c>
      <c r="T118" s="35">
        <v>99.643500000000003</v>
      </c>
      <c r="U118" s="35">
        <v>5.2597699999999996</v>
      </c>
      <c r="V118" s="35">
        <v>1.48655</v>
      </c>
      <c r="W118" s="35">
        <v>100.452</v>
      </c>
      <c r="X118" s="36">
        <v>95.000900000000001</v>
      </c>
      <c r="Y118" s="34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3"/>
      <c r="AK118" s="63"/>
      <c r="AL118" s="63"/>
      <c r="AM118" s="35"/>
      <c r="AN118" s="35"/>
      <c r="AO118" s="35"/>
      <c r="AP118" s="35"/>
      <c r="AQ118" s="35"/>
      <c r="AR118" s="36"/>
      <c r="AS118" s="47"/>
      <c r="AT118" s="94"/>
      <c r="AU118" s="95"/>
      <c r="AV118" s="47"/>
      <c r="AW118" s="94"/>
      <c r="AX118" s="95"/>
      <c r="AY118" s="34">
        <f t="shared" si="46"/>
        <v>-1972252</v>
      </c>
      <c r="AZ118" s="61">
        <f t="shared" si="67"/>
        <v>-612865880</v>
      </c>
      <c r="BA118" s="61">
        <f t="shared" si="68"/>
        <v>-46255400</v>
      </c>
      <c r="BB118" s="61">
        <f t="shared" si="69"/>
        <v>-566594952</v>
      </c>
      <c r="BC118" s="61">
        <f t="shared" si="70"/>
        <v>-15812236</v>
      </c>
      <c r="BD118" s="61">
        <f t="shared" si="71"/>
        <v>-42601068</v>
      </c>
      <c r="BE118" s="61">
        <f t="shared" si="72"/>
        <v>-68231244</v>
      </c>
      <c r="BF118" s="61">
        <f t="shared" si="73"/>
        <v>-92774204</v>
      </c>
      <c r="BG118" s="61">
        <f t="shared" si="74"/>
        <v>-7449508</v>
      </c>
      <c r="BH118" s="61">
        <f t="shared" si="75"/>
        <v>-23868972</v>
      </c>
      <c r="BI118" s="61">
        <f t="shared" si="76"/>
        <v>-32560244</v>
      </c>
      <c r="BJ118" s="154">
        <f t="shared" si="77"/>
        <v>-49.636213474856099</v>
      </c>
      <c r="BK118" s="154">
        <f t="shared" si="78"/>
        <v>-53.899667094798502</v>
      </c>
      <c r="BL118" s="69">
        <f t="shared" si="81"/>
        <v>-0.99865157181664099</v>
      </c>
    </row>
    <row r="119" spans="1:64" ht="15.75" thickBot="1" x14ac:dyDescent="0.3">
      <c r="A119" s="246"/>
      <c r="B119" s="249"/>
      <c r="C119" s="28" t="s">
        <v>49</v>
      </c>
      <c r="D119" s="44"/>
      <c r="E119" s="37">
        <v>1972252</v>
      </c>
      <c r="F119" s="64">
        <v>725327864</v>
      </c>
      <c r="G119" s="64">
        <v>46255400</v>
      </c>
      <c r="H119" s="64">
        <v>679056936</v>
      </c>
      <c r="I119" s="64">
        <v>18720676</v>
      </c>
      <c r="J119" s="64">
        <v>51127916</v>
      </c>
      <c r="K119" s="64">
        <v>83067956</v>
      </c>
      <c r="L119" s="64">
        <v>114836444</v>
      </c>
      <c r="M119" s="64">
        <v>8393908</v>
      </c>
      <c r="N119" s="64">
        <v>26831248</v>
      </c>
      <c r="O119" s="64">
        <v>36550320</v>
      </c>
      <c r="P119" s="65">
        <v>51.818279251712099</v>
      </c>
      <c r="Q119" s="65">
        <v>55.865584533641602</v>
      </c>
      <c r="R119" s="66">
        <v>0.99886652338749904</v>
      </c>
      <c r="S119" s="22">
        <v>110.825</v>
      </c>
      <c r="T119" s="22">
        <v>103.157</v>
      </c>
      <c r="U119" s="22">
        <v>5.2775699999999999</v>
      </c>
      <c r="V119" s="22">
        <v>1.49146</v>
      </c>
      <c r="W119" s="22">
        <v>102.712</v>
      </c>
      <c r="X119" s="38">
        <v>98.094300000000004</v>
      </c>
      <c r="Y119" s="37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6"/>
      <c r="AK119" s="66"/>
      <c r="AL119" s="66"/>
      <c r="AM119" s="22"/>
      <c r="AN119" s="22"/>
      <c r="AO119" s="22"/>
      <c r="AP119" s="22"/>
      <c r="AQ119" s="22"/>
      <c r="AR119" s="38"/>
      <c r="AS119" s="48"/>
      <c r="AT119" s="98"/>
      <c r="AU119" s="99"/>
      <c r="AV119" s="48"/>
      <c r="AW119" s="98"/>
      <c r="AX119" s="99"/>
      <c r="AY119" s="37">
        <f t="shared" si="46"/>
        <v>-1972252</v>
      </c>
      <c r="AZ119" s="64">
        <f t="shared" si="67"/>
        <v>-725327864</v>
      </c>
      <c r="BA119" s="64">
        <f t="shared" si="68"/>
        <v>-46255400</v>
      </c>
      <c r="BB119" s="64">
        <f t="shared" si="69"/>
        <v>-679056936</v>
      </c>
      <c r="BC119" s="64">
        <f t="shared" si="70"/>
        <v>-18720676</v>
      </c>
      <c r="BD119" s="64">
        <f t="shared" si="71"/>
        <v>-51127916</v>
      </c>
      <c r="BE119" s="64">
        <f t="shared" si="72"/>
        <v>-83067956</v>
      </c>
      <c r="BF119" s="64">
        <f t="shared" si="73"/>
        <v>-114836444</v>
      </c>
      <c r="BG119" s="64">
        <f t="shared" si="74"/>
        <v>-8393908</v>
      </c>
      <c r="BH119" s="64">
        <f t="shared" si="75"/>
        <v>-26831248</v>
      </c>
      <c r="BI119" s="64">
        <f t="shared" si="76"/>
        <v>-36550320</v>
      </c>
      <c r="BJ119" s="70">
        <f t="shared" si="77"/>
        <v>-51.818279251712099</v>
      </c>
      <c r="BK119" s="70">
        <f t="shared" si="78"/>
        <v>-55.865584533641602</v>
      </c>
      <c r="BL119" s="71">
        <f t="shared" si="81"/>
        <v>-0.99886652338749904</v>
      </c>
    </row>
  </sheetData>
  <mergeCells count="58">
    <mergeCell ref="B90:B94"/>
    <mergeCell ref="B50:B54"/>
    <mergeCell ref="B55:B59"/>
    <mergeCell ref="B60:B64"/>
    <mergeCell ref="B65:B69"/>
    <mergeCell ref="AY2:AY3"/>
    <mergeCell ref="AZ2:BI2"/>
    <mergeCell ref="AV2:AX2"/>
    <mergeCell ref="BJ2:BL2"/>
    <mergeCell ref="AY1:BL1"/>
    <mergeCell ref="AS1:AX1"/>
    <mergeCell ref="AS2:AU2"/>
    <mergeCell ref="B10:B14"/>
    <mergeCell ref="B15:B19"/>
    <mergeCell ref="A1:D1"/>
    <mergeCell ref="E1:X1"/>
    <mergeCell ref="A5:A19"/>
    <mergeCell ref="Y1:AR1"/>
    <mergeCell ref="AJ2:AL2"/>
    <mergeCell ref="AM2:AM3"/>
    <mergeCell ref="AN2:AN3"/>
    <mergeCell ref="D2:D3"/>
    <mergeCell ref="AO2:AO3"/>
    <mergeCell ref="AP2:AP3"/>
    <mergeCell ref="AQ2:AQ3"/>
    <mergeCell ref="U2:U3"/>
    <mergeCell ref="B25:B29"/>
    <mergeCell ref="AR2:AR3"/>
    <mergeCell ref="A2:A3"/>
    <mergeCell ref="F2:O2"/>
    <mergeCell ref="Z2:AI2"/>
    <mergeCell ref="Y2:Y3"/>
    <mergeCell ref="V2:V3"/>
    <mergeCell ref="W2:W3"/>
    <mergeCell ref="X2:X3"/>
    <mergeCell ref="P2:R2"/>
    <mergeCell ref="S2:S3"/>
    <mergeCell ref="T2:T3"/>
    <mergeCell ref="B2:B3"/>
    <mergeCell ref="C2:C3"/>
    <mergeCell ref="E2:E3"/>
    <mergeCell ref="B5:B9"/>
    <mergeCell ref="A20:A69"/>
    <mergeCell ref="A70:A119"/>
    <mergeCell ref="B40:B44"/>
    <mergeCell ref="B45:B49"/>
    <mergeCell ref="B30:B34"/>
    <mergeCell ref="B35:B39"/>
    <mergeCell ref="B95:B99"/>
    <mergeCell ref="B100:B104"/>
    <mergeCell ref="B105:B109"/>
    <mergeCell ref="B110:B114"/>
    <mergeCell ref="B115:B119"/>
    <mergeCell ref="B70:B74"/>
    <mergeCell ref="B75:B79"/>
    <mergeCell ref="B80:B84"/>
    <mergeCell ref="B85:B89"/>
    <mergeCell ref="B20:B24"/>
  </mergeCells>
  <phoneticPr fontId="2" type="noConversion"/>
  <conditionalFormatting sqref="AS21:AX24 AS6:AX9 AS11:AX14 AS16:AX19">
    <cfRule type="cellIs" dxfId="526" priority="9271" operator="greaterThanOrEqual">
      <formula>0.03</formula>
    </cfRule>
    <cfRule type="cellIs" dxfId="525" priority="9272" operator="lessThanOrEqual">
      <formula>-0.03</formula>
    </cfRule>
  </conditionalFormatting>
  <conditionalFormatting sqref="AS26:AX29">
    <cfRule type="cellIs" dxfId="524" priority="1602" operator="greaterThanOrEqual">
      <formula>0.03</formula>
    </cfRule>
    <cfRule type="cellIs" dxfId="523" priority="1603" operator="lessThanOrEqual">
      <formula>-0.03</formula>
    </cfRule>
  </conditionalFormatting>
  <conditionalFormatting sqref="AS31:AX34">
    <cfRule type="cellIs" dxfId="522" priority="1596" operator="greaterThanOrEqual">
      <formula>0.03</formula>
    </cfRule>
    <cfRule type="cellIs" dxfId="521" priority="1597" operator="lessThanOrEqual">
      <formula>-0.03</formula>
    </cfRule>
  </conditionalFormatting>
  <conditionalFormatting sqref="AS36:AX39 AS41:AX44 AS46:AX49">
    <cfRule type="cellIs" dxfId="520" priority="1590" operator="greaterThanOrEqual">
      <formula>0.03</formula>
    </cfRule>
    <cfRule type="cellIs" dxfId="519" priority="1591" operator="lessThanOrEqual">
      <formula>-0.03</formula>
    </cfRule>
  </conditionalFormatting>
  <conditionalFormatting sqref="AS51:AX54">
    <cfRule type="cellIs" dxfId="518" priority="1584" operator="greaterThanOrEqual">
      <formula>0.03</formula>
    </cfRule>
    <cfRule type="cellIs" dxfId="517" priority="1585" operator="lessThanOrEqual">
      <formula>-0.03</formula>
    </cfRule>
  </conditionalFormatting>
  <conditionalFormatting sqref="C5:C54">
    <cfRule type="expression" dxfId="516" priority="1558">
      <formula>MOD(ROW(),2)=1</formula>
    </cfRule>
  </conditionalFormatting>
  <conditionalFormatting sqref="C55:C119">
    <cfRule type="expression" dxfId="515" priority="1461">
      <formula>MOD(ROW(),2)=1</formula>
    </cfRule>
  </conditionalFormatting>
  <conditionalFormatting sqref="AS56:AX59">
    <cfRule type="cellIs" dxfId="514" priority="1459" operator="greaterThanOrEqual">
      <formula>0.03</formula>
    </cfRule>
    <cfRule type="cellIs" dxfId="513" priority="1460" operator="lessThanOrEqual">
      <formula>-0.03</formula>
    </cfRule>
  </conditionalFormatting>
  <conditionalFormatting sqref="AS61:AX64">
    <cfRule type="cellIs" dxfId="512" priority="1439" operator="greaterThanOrEqual">
      <formula>0.03</formula>
    </cfRule>
    <cfRule type="cellIs" dxfId="511" priority="1440" operator="lessThanOrEqual">
      <formula>-0.03</formula>
    </cfRule>
  </conditionalFormatting>
  <conditionalFormatting sqref="AS66:AX69">
    <cfRule type="cellIs" dxfId="510" priority="1419" operator="greaterThanOrEqual">
      <formula>0.03</formula>
    </cfRule>
    <cfRule type="cellIs" dxfId="509" priority="1420" operator="lessThanOrEqual">
      <formula>-0.03</formula>
    </cfRule>
  </conditionalFormatting>
  <conditionalFormatting sqref="AS71:AX74">
    <cfRule type="cellIs" dxfId="508" priority="1399" operator="greaterThanOrEqual">
      <formula>0.03</formula>
    </cfRule>
    <cfRule type="cellIs" dxfId="507" priority="1400" operator="lessThanOrEqual">
      <formula>-0.03</formula>
    </cfRule>
  </conditionalFormatting>
  <conditionalFormatting sqref="AS76:AX79">
    <cfRule type="cellIs" dxfId="506" priority="1379" operator="greaterThanOrEqual">
      <formula>0.03</formula>
    </cfRule>
    <cfRule type="cellIs" dxfId="505" priority="1380" operator="lessThanOrEqual">
      <formula>-0.03</formula>
    </cfRule>
  </conditionalFormatting>
  <conditionalFormatting sqref="AS81:AX84">
    <cfRule type="cellIs" dxfId="504" priority="1359" operator="greaterThanOrEqual">
      <formula>0.03</formula>
    </cfRule>
    <cfRule type="cellIs" dxfId="503" priority="1360" operator="lessThanOrEqual">
      <formula>-0.03</formula>
    </cfRule>
  </conditionalFormatting>
  <conditionalFormatting sqref="AS86:AX89">
    <cfRule type="cellIs" dxfId="502" priority="1339" operator="greaterThanOrEqual">
      <formula>0.03</formula>
    </cfRule>
    <cfRule type="cellIs" dxfId="501" priority="1340" operator="lessThanOrEqual">
      <formula>-0.03</formula>
    </cfRule>
  </conditionalFormatting>
  <conditionalFormatting sqref="AS91:AX94">
    <cfRule type="cellIs" dxfId="500" priority="1319" operator="greaterThanOrEqual">
      <formula>0.03</formula>
    </cfRule>
    <cfRule type="cellIs" dxfId="499" priority="1320" operator="lessThanOrEqual">
      <formula>-0.03</formula>
    </cfRule>
  </conditionalFormatting>
  <conditionalFormatting sqref="AS96:AX99">
    <cfRule type="cellIs" dxfId="498" priority="1299" operator="greaterThanOrEqual">
      <formula>0.03</formula>
    </cfRule>
    <cfRule type="cellIs" dxfId="497" priority="1300" operator="lessThanOrEqual">
      <formula>-0.03</formula>
    </cfRule>
  </conditionalFormatting>
  <conditionalFormatting sqref="AS101:AX104">
    <cfRule type="cellIs" dxfId="496" priority="1279" operator="greaterThanOrEqual">
      <formula>0.03</formula>
    </cfRule>
    <cfRule type="cellIs" dxfId="495" priority="1280" operator="lessThanOrEqual">
      <formula>-0.03</formula>
    </cfRule>
  </conditionalFormatting>
  <conditionalFormatting sqref="AS6:AX9 AS11:AX14 AS16:AX19 AS21:AX24 AS26:AX29 AS31:AX34 AS36:AX39 AS51:AX54 AS56:AX59 AS61:AX64 AS66:AX69 AS71:AX74 AS76:AX79 AS81:AX84 AS86:AX89 AS91:AX94 AS96:AX99 AS101:AX104 AS41:AX44 AS46:AX49">
    <cfRule type="containsBlanks" dxfId="494" priority="1004">
      <formula>LEN(TRIM(AS6))=0</formula>
    </cfRule>
    <cfRule type="containsBlanks" dxfId="493" priority="1107">
      <formula>LEN(TRIM(AS6))=0</formula>
    </cfRule>
    <cfRule type="containsBlanks" dxfId="492" priority="1188">
      <formula>LEN(TRIM(AS6))=0</formula>
    </cfRule>
  </conditionalFormatting>
  <conditionalFormatting sqref="AS5 AV5:AX5">
    <cfRule type="expression" dxfId="491" priority="999">
      <formula>OR(AS5="no anchor", AS5="no test", AS5="Points &lt; 4")</formula>
    </cfRule>
    <cfRule type="containsBlanks" dxfId="490" priority="1000">
      <formula>LEN(TRIM(AS5))=0</formula>
    </cfRule>
    <cfRule type="cellIs" dxfId="489" priority="1001" operator="greaterThan">
      <formula>0.03</formula>
    </cfRule>
    <cfRule type="cellIs" dxfId="488" priority="1002" stopIfTrue="1" operator="lessThan">
      <formula>-0.03</formula>
    </cfRule>
  </conditionalFormatting>
  <conditionalFormatting sqref="AV10:AX10">
    <cfRule type="expression" dxfId="487" priority="919">
      <formula>OR(AV10="no anchor", AV10="no test", AV10="Points &lt; 4")</formula>
    </cfRule>
    <cfRule type="containsBlanks" dxfId="486" priority="920">
      <formula>LEN(TRIM(AV10))=0</formula>
    </cfRule>
    <cfRule type="cellIs" dxfId="485" priority="921" operator="greaterThan">
      <formula>0.03</formula>
    </cfRule>
    <cfRule type="cellIs" dxfId="484" priority="922" stopIfTrue="1" operator="lessThan">
      <formula>-0.03</formula>
    </cfRule>
  </conditionalFormatting>
  <conditionalFormatting sqref="AV15:AX15">
    <cfRule type="expression" dxfId="483" priority="915">
      <formula>OR(AV15="no anchor", AV15="no test", AV15="Points &lt; 4")</formula>
    </cfRule>
    <cfRule type="containsBlanks" dxfId="482" priority="916">
      <formula>LEN(TRIM(AV15))=0</formula>
    </cfRule>
    <cfRule type="cellIs" dxfId="481" priority="917" operator="greaterThan">
      <formula>0.03</formula>
    </cfRule>
    <cfRule type="cellIs" dxfId="480" priority="918" stopIfTrue="1" operator="lessThan">
      <formula>-0.03</formula>
    </cfRule>
  </conditionalFormatting>
  <conditionalFormatting sqref="AV20:AX20">
    <cfRule type="expression" dxfId="479" priority="911">
      <formula>OR(AV20="no anchor", AV20="no test", AV20="Points &lt; 4")</formula>
    </cfRule>
    <cfRule type="containsBlanks" dxfId="478" priority="912">
      <formula>LEN(TRIM(AV20))=0</formula>
    </cfRule>
    <cfRule type="cellIs" dxfId="477" priority="913" operator="greaterThan">
      <formula>0.03</formula>
    </cfRule>
    <cfRule type="cellIs" dxfId="476" priority="914" stopIfTrue="1" operator="lessThan">
      <formula>-0.03</formula>
    </cfRule>
  </conditionalFormatting>
  <conditionalFormatting sqref="AV25:AX25">
    <cfRule type="expression" dxfId="475" priority="907">
      <formula>OR(AV25="no anchor", AV25="no test", AV25="Points &lt; 4")</formula>
    </cfRule>
    <cfRule type="containsBlanks" dxfId="474" priority="908">
      <formula>LEN(TRIM(AV25))=0</formula>
    </cfRule>
    <cfRule type="cellIs" dxfId="473" priority="909" operator="greaterThan">
      <formula>0.03</formula>
    </cfRule>
    <cfRule type="cellIs" dxfId="472" priority="910" stopIfTrue="1" operator="lessThan">
      <formula>-0.03</formula>
    </cfRule>
  </conditionalFormatting>
  <conditionalFormatting sqref="AV30:AX30">
    <cfRule type="expression" dxfId="471" priority="903">
      <formula>OR(AV30="no anchor", AV30="no test", AV30="Points &lt; 4")</formula>
    </cfRule>
    <cfRule type="containsBlanks" dxfId="470" priority="904">
      <formula>LEN(TRIM(AV30))=0</formula>
    </cfRule>
    <cfRule type="cellIs" dxfId="469" priority="905" operator="greaterThan">
      <formula>0.03</formula>
    </cfRule>
    <cfRule type="cellIs" dxfId="468" priority="906" stopIfTrue="1" operator="lessThan">
      <formula>-0.03</formula>
    </cfRule>
  </conditionalFormatting>
  <conditionalFormatting sqref="AV35:AX35">
    <cfRule type="expression" dxfId="467" priority="899">
      <formula>OR(AV35="no anchor", AV35="no test", AV35="Points &lt; 4")</formula>
    </cfRule>
    <cfRule type="containsBlanks" dxfId="466" priority="900">
      <formula>LEN(TRIM(AV35))=0</formula>
    </cfRule>
    <cfRule type="cellIs" dxfId="465" priority="901" operator="greaterThan">
      <formula>0.03</formula>
    </cfRule>
    <cfRule type="cellIs" dxfId="464" priority="902" stopIfTrue="1" operator="lessThan">
      <formula>-0.03</formula>
    </cfRule>
  </conditionalFormatting>
  <conditionalFormatting sqref="AS55:AX55">
    <cfRule type="expression" dxfId="463" priority="895">
      <formula>OR(AS55="no anchor", AS55="no test", AS55="Points &lt; 4")</formula>
    </cfRule>
    <cfRule type="containsBlanks" dxfId="462" priority="896">
      <formula>LEN(TRIM(AS55))=0</formula>
    </cfRule>
    <cfRule type="cellIs" dxfId="461" priority="897" operator="greaterThan">
      <formula>0.03</formula>
    </cfRule>
    <cfRule type="cellIs" dxfId="460" priority="898" stopIfTrue="1" operator="lessThan">
      <formula>-0.03</formula>
    </cfRule>
  </conditionalFormatting>
  <conditionalFormatting sqref="AS60:AX60">
    <cfRule type="expression" dxfId="459" priority="891">
      <formula>OR(AS60="no anchor", AS60="no test", AS60="Points &lt; 4")</formula>
    </cfRule>
    <cfRule type="containsBlanks" dxfId="458" priority="892">
      <formula>LEN(TRIM(AS60))=0</formula>
    </cfRule>
    <cfRule type="cellIs" dxfId="457" priority="893" operator="greaterThan">
      <formula>0.03</formula>
    </cfRule>
    <cfRule type="cellIs" dxfId="456" priority="894" stopIfTrue="1" operator="lessThan">
      <formula>-0.03</formula>
    </cfRule>
  </conditionalFormatting>
  <conditionalFormatting sqref="AS65:AX65">
    <cfRule type="expression" dxfId="455" priority="887">
      <formula>OR(AS65="no anchor", AS65="no test", AS65="Points &lt; 4")</formula>
    </cfRule>
    <cfRule type="containsBlanks" dxfId="454" priority="888">
      <formula>LEN(TRIM(AS65))=0</formula>
    </cfRule>
    <cfRule type="cellIs" dxfId="453" priority="889" operator="greaterThan">
      <formula>0.03</formula>
    </cfRule>
    <cfRule type="cellIs" dxfId="452" priority="890" stopIfTrue="1" operator="lessThan">
      <formula>-0.03</formula>
    </cfRule>
  </conditionalFormatting>
  <conditionalFormatting sqref="AS70:AX70">
    <cfRule type="expression" dxfId="451" priority="883">
      <formula>OR(AS70="no anchor", AS70="no test", AS70="Points &lt; 4")</formula>
    </cfRule>
    <cfRule type="containsBlanks" dxfId="450" priority="884">
      <formula>LEN(TRIM(AS70))=0</formula>
    </cfRule>
    <cfRule type="cellIs" dxfId="449" priority="885" operator="greaterThan">
      <formula>0.03</formula>
    </cfRule>
    <cfRule type="cellIs" dxfId="448" priority="886" stopIfTrue="1" operator="lessThan">
      <formula>-0.03</formula>
    </cfRule>
  </conditionalFormatting>
  <conditionalFormatting sqref="AS75:AX75">
    <cfRule type="expression" dxfId="447" priority="879">
      <formula>OR(AS75="no anchor", AS75="no test", AS75="Points &lt; 4")</formula>
    </cfRule>
    <cfRule type="containsBlanks" dxfId="446" priority="880">
      <formula>LEN(TRIM(AS75))=0</formula>
    </cfRule>
    <cfRule type="cellIs" dxfId="445" priority="881" operator="greaterThan">
      <formula>0.03</formula>
    </cfRule>
    <cfRule type="cellIs" dxfId="444" priority="882" stopIfTrue="1" operator="lessThan">
      <formula>-0.03</formula>
    </cfRule>
  </conditionalFormatting>
  <conditionalFormatting sqref="AS80:AX80">
    <cfRule type="expression" dxfId="443" priority="875">
      <formula>OR(AS80="no anchor", AS80="no test", AS80="Points &lt; 4")</formula>
    </cfRule>
    <cfRule type="containsBlanks" dxfId="442" priority="876">
      <formula>LEN(TRIM(AS80))=0</formula>
    </cfRule>
    <cfRule type="cellIs" dxfId="441" priority="877" operator="greaterThan">
      <formula>0.03</formula>
    </cfRule>
    <cfRule type="cellIs" dxfId="440" priority="878" stopIfTrue="1" operator="lessThan">
      <formula>-0.03</formula>
    </cfRule>
  </conditionalFormatting>
  <conditionalFormatting sqref="AS85:AX85">
    <cfRule type="expression" dxfId="439" priority="871">
      <formula>OR(AS85="no anchor", AS85="no test", AS85="Points &lt; 4")</formula>
    </cfRule>
    <cfRule type="containsBlanks" dxfId="438" priority="872">
      <formula>LEN(TRIM(AS85))=0</formula>
    </cfRule>
    <cfRule type="cellIs" dxfId="437" priority="873" operator="greaterThan">
      <formula>0.03</formula>
    </cfRule>
    <cfRule type="cellIs" dxfId="436" priority="874" stopIfTrue="1" operator="lessThan">
      <formula>-0.03</formula>
    </cfRule>
  </conditionalFormatting>
  <conditionalFormatting sqref="AS90:AX90">
    <cfRule type="expression" dxfId="435" priority="867">
      <formula>OR(AS90="no anchor", AS90="no test", AS90="Points &lt; 4")</formula>
    </cfRule>
    <cfRule type="containsBlanks" dxfId="434" priority="868">
      <formula>LEN(TRIM(AS90))=0</formula>
    </cfRule>
    <cfRule type="cellIs" dxfId="433" priority="869" operator="greaterThan">
      <formula>0.03</formula>
    </cfRule>
    <cfRule type="cellIs" dxfId="432" priority="870" stopIfTrue="1" operator="lessThan">
      <formula>-0.03</formula>
    </cfRule>
  </conditionalFormatting>
  <conditionalFormatting sqref="AS95:AX95">
    <cfRule type="expression" dxfId="431" priority="863">
      <formula>OR(AS95="no anchor", AS95="no test", AS95="Points &lt; 4")</formula>
    </cfRule>
    <cfRule type="containsBlanks" dxfId="430" priority="864">
      <formula>LEN(TRIM(AS95))=0</formula>
    </cfRule>
    <cfRule type="cellIs" dxfId="429" priority="865" operator="greaterThan">
      <formula>0.03</formula>
    </cfRule>
    <cfRule type="cellIs" dxfId="428" priority="866" stopIfTrue="1" operator="lessThan">
      <formula>-0.03</formula>
    </cfRule>
  </conditionalFormatting>
  <conditionalFormatting sqref="AS100:AX100">
    <cfRule type="expression" dxfId="427" priority="859">
      <formula>OR(AS100="no anchor", AS100="no test", AS100="Points &lt; 4")</formula>
    </cfRule>
    <cfRule type="containsBlanks" dxfId="426" priority="860">
      <formula>LEN(TRIM(AS100))=0</formula>
    </cfRule>
    <cfRule type="cellIs" dxfId="425" priority="861" operator="greaterThan">
      <formula>0.03</formula>
    </cfRule>
    <cfRule type="cellIs" dxfId="424" priority="862" stopIfTrue="1" operator="lessThan">
      <formula>-0.03</formula>
    </cfRule>
  </conditionalFormatting>
  <conditionalFormatting sqref="AV50:AX50">
    <cfRule type="expression" dxfId="423" priority="855">
      <formula>OR(AV50="no anchor", AV50="no test", AV50="Points &lt; 4")</formula>
    </cfRule>
    <cfRule type="containsBlanks" dxfId="422" priority="856">
      <formula>LEN(TRIM(AV50))=0</formula>
    </cfRule>
    <cfRule type="cellIs" dxfId="421" priority="857" operator="greaterThan">
      <formula>0.03</formula>
    </cfRule>
    <cfRule type="cellIs" dxfId="420" priority="858" stopIfTrue="1" operator="lessThan">
      <formula>-0.03</formula>
    </cfRule>
  </conditionalFormatting>
  <conditionalFormatting sqref="AS106:AX109">
    <cfRule type="cellIs" dxfId="419" priority="853" operator="greaterThanOrEqual">
      <formula>0.03</formula>
    </cfRule>
    <cfRule type="cellIs" dxfId="418" priority="854" operator="lessThanOrEqual">
      <formula>-0.03</formula>
    </cfRule>
  </conditionalFormatting>
  <conditionalFormatting sqref="AS106:AX109">
    <cfRule type="containsBlanks" dxfId="417" priority="850">
      <formula>LEN(TRIM(AS106))=0</formula>
    </cfRule>
    <cfRule type="containsBlanks" dxfId="416" priority="851">
      <formula>LEN(TRIM(AS106))=0</formula>
    </cfRule>
    <cfRule type="containsBlanks" dxfId="415" priority="852">
      <formula>LEN(TRIM(AS106))=0</formula>
    </cfRule>
  </conditionalFormatting>
  <conditionalFormatting sqref="AS105:AX105">
    <cfRule type="expression" dxfId="414" priority="846">
      <formula>OR(AS105="no anchor", AS105="no test", AS105="Points &lt; 4")</formula>
    </cfRule>
    <cfRule type="containsBlanks" dxfId="413" priority="847">
      <formula>LEN(TRIM(AS105))=0</formula>
    </cfRule>
    <cfRule type="cellIs" dxfId="412" priority="848" operator="greaterThan">
      <formula>0.03</formula>
    </cfRule>
    <cfRule type="cellIs" dxfId="411" priority="849" stopIfTrue="1" operator="lessThan">
      <formula>-0.03</formula>
    </cfRule>
  </conditionalFormatting>
  <conditionalFormatting sqref="AS111:AX114">
    <cfRule type="cellIs" dxfId="410" priority="844" operator="greaterThanOrEqual">
      <formula>0.03</formula>
    </cfRule>
    <cfRule type="cellIs" dxfId="409" priority="845" operator="lessThanOrEqual">
      <formula>-0.03</formula>
    </cfRule>
  </conditionalFormatting>
  <conditionalFormatting sqref="AS111:AX114">
    <cfRule type="containsBlanks" dxfId="408" priority="841">
      <formula>LEN(TRIM(AS111))=0</formula>
    </cfRule>
    <cfRule type="containsBlanks" dxfId="407" priority="842">
      <formula>LEN(TRIM(AS111))=0</formula>
    </cfRule>
    <cfRule type="containsBlanks" dxfId="406" priority="843">
      <formula>LEN(TRIM(AS111))=0</formula>
    </cfRule>
  </conditionalFormatting>
  <conditionalFormatting sqref="AS110:AX110">
    <cfRule type="expression" dxfId="405" priority="837">
      <formula>OR(AS110="no anchor", AS110="no test", AS110="Points &lt; 4")</formula>
    </cfRule>
    <cfRule type="containsBlanks" dxfId="404" priority="838">
      <formula>LEN(TRIM(AS110))=0</formula>
    </cfRule>
    <cfRule type="cellIs" dxfId="403" priority="839" operator="greaterThan">
      <formula>0.03</formula>
    </cfRule>
    <cfRule type="cellIs" dxfId="402" priority="840" stopIfTrue="1" operator="lessThan">
      <formula>-0.03</formula>
    </cfRule>
  </conditionalFormatting>
  <conditionalFormatting sqref="AS116:AX119">
    <cfRule type="cellIs" dxfId="401" priority="835" operator="greaterThanOrEqual">
      <formula>0.03</formula>
    </cfRule>
    <cfRule type="cellIs" dxfId="400" priority="836" operator="lessThanOrEqual">
      <formula>-0.03</formula>
    </cfRule>
  </conditionalFormatting>
  <conditionalFormatting sqref="AS116:AX119">
    <cfRule type="containsBlanks" dxfId="399" priority="832">
      <formula>LEN(TRIM(AS116))=0</formula>
    </cfRule>
    <cfRule type="containsBlanks" dxfId="398" priority="833">
      <formula>LEN(TRIM(AS116))=0</formula>
    </cfRule>
    <cfRule type="containsBlanks" dxfId="397" priority="834">
      <formula>LEN(TRIM(AS116))=0</formula>
    </cfRule>
  </conditionalFormatting>
  <conditionalFormatting sqref="AS115:AX115">
    <cfRule type="expression" dxfId="396" priority="828">
      <formula>OR(AS115="no anchor", AS115="no test", AS115="Points &lt; 4")</formula>
    </cfRule>
    <cfRule type="containsBlanks" dxfId="395" priority="829">
      <formula>LEN(TRIM(AS115))=0</formula>
    </cfRule>
    <cfRule type="cellIs" dxfId="394" priority="830" operator="greaterThan">
      <formula>0.03</formula>
    </cfRule>
    <cfRule type="cellIs" dxfId="393" priority="831" stopIfTrue="1" operator="lessThan">
      <formula>-0.03</formula>
    </cfRule>
  </conditionalFormatting>
  <conditionalFormatting sqref="AS10">
    <cfRule type="expression" dxfId="392" priority="805">
      <formula>OR(AS10="no anchor", AS10="no test", AS10="Points &lt; 4")</formula>
    </cfRule>
    <cfRule type="containsBlanks" dxfId="391" priority="806">
      <formula>LEN(TRIM(AS10))=0</formula>
    </cfRule>
    <cfRule type="cellIs" dxfId="390" priority="807" operator="greaterThan">
      <formula>0.03</formula>
    </cfRule>
    <cfRule type="cellIs" dxfId="389" priority="808" stopIfTrue="1" operator="lessThan">
      <formula>-0.03</formula>
    </cfRule>
  </conditionalFormatting>
  <conditionalFormatting sqref="AS15">
    <cfRule type="expression" dxfId="388" priority="801">
      <formula>OR(AS15="no anchor", AS15="no test", AS15="Points &lt; 4")</formula>
    </cfRule>
    <cfRule type="containsBlanks" dxfId="387" priority="802">
      <formula>LEN(TRIM(AS15))=0</formula>
    </cfRule>
    <cfRule type="cellIs" dxfId="386" priority="803" operator="greaterThan">
      <formula>0.03</formula>
    </cfRule>
    <cfRule type="cellIs" dxfId="385" priority="804" stopIfTrue="1" operator="lessThan">
      <formula>-0.03</formula>
    </cfRule>
  </conditionalFormatting>
  <conditionalFormatting sqref="AS20">
    <cfRule type="expression" dxfId="384" priority="797">
      <formula>OR(AS20="no anchor", AS20="no test", AS20="Points &lt; 4")</formula>
    </cfRule>
    <cfRule type="containsBlanks" dxfId="383" priority="798">
      <formula>LEN(TRIM(AS20))=0</formula>
    </cfRule>
    <cfRule type="cellIs" dxfId="382" priority="799" operator="greaterThan">
      <formula>0.03</formula>
    </cfRule>
    <cfRule type="cellIs" dxfId="381" priority="800" stopIfTrue="1" operator="lessThan">
      <formula>-0.03</formula>
    </cfRule>
  </conditionalFormatting>
  <conditionalFormatting sqref="AS25">
    <cfRule type="expression" dxfId="380" priority="793">
      <formula>OR(AS25="no anchor", AS25="no test", AS25="Points &lt; 4")</formula>
    </cfRule>
    <cfRule type="containsBlanks" dxfId="379" priority="794">
      <formula>LEN(TRIM(AS25))=0</formula>
    </cfRule>
    <cfRule type="cellIs" dxfId="378" priority="795" operator="greaterThan">
      <formula>0.03</formula>
    </cfRule>
    <cfRule type="cellIs" dxfId="377" priority="796" stopIfTrue="1" operator="lessThan">
      <formula>-0.03</formula>
    </cfRule>
  </conditionalFormatting>
  <conditionalFormatting sqref="AS30">
    <cfRule type="expression" dxfId="376" priority="789">
      <formula>OR(AS30="no anchor", AS30="no test", AS30="Points &lt; 4")</formula>
    </cfRule>
    <cfRule type="containsBlanks" dxfId="375" priority="790">
      <formula>LEN(TRIM(AS30))=0</formula>
    </cfRule>
    <cfRule type="cellIs" dxfId="374" priority="791" operator="greaterThan">
      <formula>0.03</formula>
    </cfRule>
    <cfRule type="cellIs" dxfId="373" priority="792" stopIfTrue="1" operator="lessThan">
      <formula>-0.03</formula>
    </cfRule>
  </conditionalFormatting>
  <conditionalFormatting sqref="AS35">
    <cfRule type="expression" dxfId="372" priority="785">
      <formula>OR(AS35="no anchor", AS35="no test", AS35="Points &lt; 4")</formula>
    </cfRule>
    <cfRule type="containsBlanks" dxfId="371" priority="786">
      <formula>LEN(TRIM(AS35))=0</formula>
    </cfRule>
    <cfRule type="cellIs" dxfId="370" priority="787" operator="greaterThan">
      <formula>0.03</formula>
    </cfRule>
    <cfRule type="cellIs" dxfId="369" priority="788" stopIfTrue="1" operator="lessThan">
      <formula>-0.03</formula>
    </cfRule>
  </conditionalFormatting>
  <conditionalFormatting sqref="AS50">
    <cfRule type="expression" dxfId="368" priority="781">
      <formula>OR(AS50="no anchor", AS50="no test", AS50="Points &lt; 4")</formula>
    </cfRule>
    <cfRule type="containsBlanks" dxfId="367" priority="782">
      <formula>LEN(TRIM(AS50))=0</formula>
    </cfRule>
    <cfRule type="cellIs" dxfId="366" priority="783" operator="greaterThan">
      <formula>0.03</formula>
    </cfRule>
    <cfRule type="cellIs" dxfId="365" priority="784" stopIfTrue="1" operator="lessThan">
      <formula>-0.03</formula>
    </cfRule>
  </conditionalFormatting>
  <conditionalFormatting sqref="AV40:AX40">
    <cfRule type="expression" dxfId="364" priority="713">
      <formula>OR(AV40="no anchor", AV40="no test", AV40="Points &lt; 4")</formula>
    </cfRule>
    <cfRule type="containsBlanks" dxfId="363" priority="714">
      <formula>LEN(TRIM(AV40))=0</formula>
    </cfRule>
    <cfRule type="cellIs" dxfId="362" priority="715" operator="greaterThan">
      <formula>0.03</formula>
    </cfRule>
    <cfRule type="cellIs" dxfId="361" priority="716" stopIfTrue="1" operator="lessThan">
      <formula>-0.03</formula>
    </cfRule>
  </conditionalFormatting>
  <conditionalFormatting sqref="AS40">
    <cfRule type="expression" dxfId="360" priority="709">
      <formula>OR(AS40="no anchor", AS40="no test", AS40="Points &lt; 4")</formula>
    </cfRule>
    <cfRule type="containsBlanks" dxfId="359" priority="710">
      <formula>LEN(TRIM(AS40))=0</formula>
    </cfRule>
    <cfRule type="cellIs" dxfId="358" priority="711" operator="greaterThan">
      <formula>0.03</formula>
    </cfRule>
    <cfRule type="cellIs" dxfId="357" priority="712" stopIfTrue="1" operator="lessThan">
      <formula>-0.03</formula>
    </cfRule>
  </conditionalFormatting>
  <conditionalFormatting sqref="AV45:AX45">
    <cfRule type="expression" dxfId="356" priority="705">
      <formula>OR(AV45="no anchor", AV45="no test", AV45="Points &lt; 4")</formula>
    </cfRule>
    <cfRule type="containsBlanks" dxfId="355" priority="706">
      <formula>LEN(TRIM(AV45))=0</formula>
    </cfRule>
    <cfRule type="cellIs" dxfId="354" priority="707" operator="greaterThan">
      <formula>0.03</formula>
    </cfRule>
    <cfRule type="cellIs" dxfId="353" priority="708" stopIfTrue="1" operator="lessThan">
      <formula>-0.03</formula>
    </cfRule>
  </conditionalFormatting>
  <conditionalFormatting sqref="AS45">
    <cfRule type="expression" dxfId="352" priority="701">
      <formula>OR(AS45="no anchor", AS45="no test", AS45="Points &lt; 4")</formula>
    </cfRule>
    <cfRule type="containsBlanks" dxfId="351" priority="702">
      <formula>LEN(TRIM(AS45))=0</formula>
    </cfRule>
    <cfRule type="cellIs" dxfId="350" priority="703" operator="greaterThan">
      <formula>0.03</formula>
    </cfRule>
    <cfRule type="cellIs" dxfId="349" priority="704" stopIfTrue="1" operator="lessThan">
      <formula>-0.03</formula>
    </cfRule>
  </conditionalFormatting>
  <conditionalFormatting sqref="AT50">
    <cfRule type="expression" dxfId="348" priority="697">
      <formula>OR(AT50="no anchor", AT50="no test", AT50="Points &lt; 4")</formula>
    </cfRule>
    <cfRule type="containsBlanks" dxfId="347" priority="698">
      <formula>LEN(TRIM(AT50))=0</formula>
    </cfRule>
    <cfRule type="cellIs" dxfId="346" priority="699" operator="greaterThan">
      <formula>0.03</formula>
    </cfRule>
    <cfRule type="cellIs" dxfId="345" priority="700" stopIfTrue="1" operator="lessThan">
      <formula>-0.03</formula>
    </cfRule>
  </conditionalFormatting>
  <conditionalFormatting sqref="AT45">
    <cfRule type="expression" dxfId="344" priority="693">
      <formula>OR(AT45="no anchor", AT45="no test", AT45="Points &lt; 4")</formula>
    </cfRule>
    <cfRule type="containsBlanks" dxfId="343" priority="694">
      <formula>LEN(TRIM(AT45))=0</formula>
    </cfRule>
    <cfRule type="cellIs" dxfId="342" priority="695" operator="greaterThan">
      <formula>0.03</formula>
    </cfRule>
    <cfRule type="cellIs" dxfId="341" priority="696" stopIfTrue="1" operator="lessThan">
      <formula>-0.03</formula>
    </cfRule>
  </conditionalFormatting>
  <conditionalFormatting sqref="AT40">
    <cfRule type="expression" dxfId="340" priority="689">
      <formula>OR(AT40="no anchor", AT40="no test", AT40="Points &lt; 4")</formula>
    </cfRule>
    <cfRule type="containsBlanks" dxfId="339" priority="690">
      <formula>LEN(TRIM(AT40))=0</formula>
    </cfRule>
    <cfRule type="cellIs" dxfId="338" priority="691" operator="greaterThan">
      <formula>0.03</formula>
    </cfRule>
    <cfRule type="cellIs" dxfId="337" priority="692" stopIfTrue="1" operator="lessThan">
      <formula>-0.03</formula>
    </cfRule>
  </conditionalFormatting>
  <conditionalFormatting sqref="AT35">
    <cfRule type="expression" dxfId="336" priority="685">
      <formula>OR(AT35="no anchor", AT35="no test", AT35="Points &lt; 4")</formula>
    </cfRule>
    <cfRule type="containsBlanks" dxfId="335" priority="686">
      <formula>LEN(TRIM(AT35))=0</formula>
    </cfRule>
    <cfRule type="cellIs" dxfId="334" priority="687" operator="greaterThan">
      <formula>0.03</formula>
    </cfRule>
    <cfRule type="cellIs" dxfId="333" priority="688" stopIfTrue="1" operator="lessThan">
      <formula>-0.03</formula>
    </cfRule>
  </conditionalFormatting>
  <conditionalFormatting sqref="AT30">
    <cfRule type="expression" dxfId="332" priority="681">
      <formula>OR(AT30="no anchor", AT30="no test", AT30="Points &lt; 4")</formula>
    </cfRule>
    <cfRule type="containsBlanks" dxfId="331" priority="682">
      <formula>LEN(TRIM(AT30))=0</formula>
    </cfRule>
    <cfRule type="cellIs" dxfId="330" priority="683" operator="greaterThan">
      <formula>0.03</formula>
    </cfRule>
    <cfRule type="cellIs" dxfId="329" priority="684" stopIfTrue="1" operator="lessThan">
      <formula>-0.03</formula>
    </cfRule>
  </conditionalFormatting>
  <conditionalFormatting sqref="AT25">
    <cfRule type="expression" dxfId="328" priority="677">
      <formula>OR(AT25="no anchor", AT25="no test", AT25="Points &lt; 4")</formula>
    </cfRule>
    <cfRule type="containsBlanks" dxfId="327" priority="678">
      <formula>LEN(TRIM(AT25))=0</formula>
    </cfRule>
    <cfRule type="cellIs" dxfId="326" priority="679" operator="greaterThan">
      <formula>0.03</formula>
    </cfRule>
    <cfRule type="cellIs" dxfId="325" priority="680" stopIfTrue="1" operator="lessThan">
      <formula>-0.03</formula>
    </cfRule>
  </conditionalFormatting>
  <conditionalFormatting sqref="AT20">
    <cfRule type="expression" dxfId="324" priority="673">
      <formula>OR(AT20="no anchor", AT20="no test", AT20="Points &lt; 4")</formula>
    </cfRule>
    <cfRule type="containsBlanks" dxfId="323" priority="674">
      <formula>LEN(TRIM(AT20))=0</formula>
    </cfRule>
    <cfRule type="cellIs" dxfId="322" priority="675" operator="greaterThan">
      <formula>0.03</formula>
    </cfRule>
    <cfRule type="cellIs" dxfId="321" priority="676" stopIfTrue="1" operator="lessThan">
      <formula>-0.03</formula>
    </cfRule>
  </conditionalFormatting>
  <conditionalFormatting sqref="AT15">
    <cfRule type="expression" dxfId="320" priority="669">
      <formula>OR(AT15="no anchor", AT15="no test", AT15="Points &lt; 4")</formula>
    </cfRule>
    <cfRule type="containsBlanks" dxfId="319" priority="670">
      <formula>LEN(TRIM(AT15))=0</formula>
    </cfRule>
    <cfRule type="cellIs" dxfId="318" priority="671" operator="greaterThan">
      <formula>0.03</formula>
    </cfRule>
    <cfRule type="cellIs" dxfId="317" priority="672" stopIfTrue="1" operator="lessThan">
      <formula>-0.03</formula>
    </cfRule>
  </conditionalFormatting>
  <conditionalFormatting sqref="AT10">
    <cfRule type="expression" dxfId="316" priority="665">
      <formula>OR(AT10="no anchor", AT10="no test", AT10="Points &lt; 4")</formula>
    </cfRule>
    <cfRule type="containsBlanks" dxfId="315" priority="666">
      <formula>LEN(TRIM(AT10))=0</formula>
    </cfRule>
    <cfRule type="cellIs" dxfId="314" priority="667" operator="greaterThan">
      <formula>0.03</formula>
    </cfRule>
    <cfRule type="cellIs" dxfId="313" priority="668" stopIfTrue="1" operator="lessThan">
      <formula>-0.03</formula>
    </cfRule>
  </conditionalFormatting>
  <conditionalFormatting sqref="AT5">
    <cfRule type="expression" dxfId="312" priority="661">
      <formula>OR(AT5="no anchor", AT5="no test", AT5="Points &lt; 4")</formula>
    </cfRule>
    <cfRule type="containsBlanks" dxfId="311" priority="662">
      <formula>LEN(TRIM(AT5))=0</formula>
    </cfRule>
    <cfRule type="cellIs" dxfId="310" priority="663" operator="greaterThan">
      <formula>0.03</formula>
    </cfRule>
    <cfRule type="cellIs" dxfId="309" priority="664" stopIfTrue="1" operator="lessThan">
      <formula>-0.03</formula>
    </cfRule>
  </conditionalFormatting>
  <conditionalFormatting sqref="AU50">
    <cfRule type="expression" dxfId="308" priority="657">
      <formula>OR(AU50="no anchor", AU50="no test", AU50="Points &lt; 4")</formula>
    </cfRule>
    <cfRule type="containsBlanks" dxfId="307" priority="658">
      <formula>LEN(TRIM(AU50))=0</formula>
    </cfRule>
    <cfRule type="cellIs" dxfId="306" priority="659" operator="greaterThan">
      <formula>0.03</formula>
    </cfRule>
    <cfRule type="cellIs" dxfId="305" priority="660" stopIfTrue="1" operator="lessThan">
      <formula>-0.03</formula>
    </cfRule>
  </conditionalFormatting>
  <conditionalFormatting sqref="AU45">
    <cfRule type="expression" dxfId="304" priority="653">
      <formula>OR(AU45="no anchor", AU45="no test", AU45="Points &lt; 4")</formula>
    </cfRule>
    <cfRule type="containsBlanks" dxfId="303" priority="654">
      <formula>LEN(TRIM(AU45))=0</formula>
    </cfRule>
    <cfRule type="cellIs" dxfId="302" priority="655" operator="greaterThan">
      <formula>0.03</formula>
    </cfRule>
    <cfRule type="cellIs" dxfId="301" priority="656" stopIfTrue="1" operator="lessThan">
      <formula>-0.03</formula>
    </cfRule>
  </conditionalFormatting>
  <conditionalFormatting sqref="AU40">
    <cfRule type="expression" dxfId="300" priority="649">
      <formula>OR(AU40="no anchor", AU40="no test", AU40="Points &lt; 4")</formula>
    </cfRule>
    <cfRule type="containsBlanks" dxfId="299" priority="650">
      <formula>LEN(TRIM(AU40))=0</formula>
    </cfRule>
    <cfRule type="cellIs" dxfId="298" priority="651" operator="greaterThan">
      <formula>0.03</formula>
    </cfRule>
    <cfRule type="cellIs" dxfId="297" priority="652" stopIfTrue="1" operator="lessThan">
      <formula>-0.03</formula>
    </cfRule>
  </conditionalFormatting>
  <conditionalFormatting sqref="AU35">
    <cfRule type="expression" dxfId="296" priority="645">
      <formula>OR(AU35="no anchor", AU35="no test", AU35="Points &lt; 4")</formula>
    </cfRule>
    <cfRule type="containsBlanks" dxfId="295" priority="646">
      <formula>LEN(TRIM(AU35))=0</formula>
    </cfRule>
    <cfRule type="cellIs" dxfId="294" priority="647" operator="greaterThan">
      <formula>0.03</formula>
    </cfRule>
    <cfRule type="cellIs" dxfId="293" priority="648" stopIfTrue="1" operator="lessThan">
      <formula>-0.03</formula>
    </cfRule>
  </conditionalFormatting>
  <conditionalFormatting sqref="AU30">
    <cfRule type="expression" dxfId="292" priority="641">
      <formula>OR(AU30="no anchor", AU30="no test", AU30="Points &lt; 4")</formula>
    </cfRule>
    <cfRule type="containsBlanks" dxfId="291" priority="642">
      <formula>LEN(TRIM(AU30))=0</formula>
    </cfRule>
    <cfRule type="cellIs" dxfId="290" priority="643" operator="greaterThan">
      <formula>0.03</formula>
    </cfRule>
    <cfRule type="cellIs" dxfId="289" priority="644" stopIfTrue="1" operator="lessThan">
      <formula>-0.03</formula>
    </cfRule>
  </conditionalFormatting>
  <conditionalFormatting sqref="AU25">
    <cfRule type="expression" dxfId="288" priority="637">
      <formula>OR(AU25="no anchor", AU25="no test", AU25="Points &lt; 4")</formula>
    </cfRule>
    <cfRule type="containsBlanks" dxfId="287" priority="638">
      <formula>LEN(TRIM(AU25))=0</formula>
    </cfRule>
    <cfRule type="cellIs" dxfId="286" priority="639" operator="greaterThan">
      <formula>0.03</formula>
    </cfRule>
    <cfRule type="cellIs" dxfId="285" priority="640" stopIfTrue="1" operator="lessThan">
      <formula>-0.03</formula>
    </cfRule>
  </conditionalFormatting>
  <conditionalFormatting sqref="AU20">
    <cfRule type="expression" dxfId="284" priority="633">
      <formula>OR(AU20="no anchor", AU20="no test", AU20="Points &lt; 4")</formula>
    </cfRule>
    <cfRule type="containsBlanks" dxfId="283" priority="634">
      <formula>LEN(TRIM(AU20))=0</formula>
    </cfRule>
    <cfRule type="cellIs" dxfId="282" priority="635" operator="greaterThan">
      <formula>0.03</formula>
    </cfRule>
    <cfRule type="cellIs" dxfId="281" priority="636" stopIfTrue="1" operator="lessThan">
      <formula>-0.03</formula>
    </cfRule>
  </conditionalFormatting>
  <conditionalFormatting sqref="AU15">
    <cfRule type="expression" dxfId="280" priority="629">
      <formula>OR(AU15="no anchor", AU15="no test", AU15="Points &lt; 4")</formula>
    </cfRule>
    <cfRule type="containsBlanks" dxfId="279" priority="630">
      <formula>LEN(TRIM(AU15))=0</formula>
    </cfRule>
    <cfRule type="cellIs" dxfId="278" priority="631" operator="greaterThan">
      <formula>0.03</formula>
    </cfRule>
    <cfRule type="cellIs" dxfId="277" priority="632" stopIfTrue="1" operator="lessThan">
      <formula>-0.03</formula>
    </cfRule>
  </conditionalFormatting>
  <conditionalFormatting sqref="AU10">
    <cfRule type="expression" dxfId="276" priority="625">
      <formula>OR(AU10="no anchor", AU10="no test", AU10="Points &lt; 4")</formula>
    </cfRule>
    <cfRule type="containsBlanks" dxfId="275" priority="626">
      <formula>LEN(TRIM(AU10))=0</formula>
    </cfRule>
    <cfRule type="cellIs" dxfId="274" priority="627" operator="greaterThan">
      <formula>0.03</formula>
    </cfRule>
    <cfRule type="cellIs" dxfId="273" priority="628" stopIfTrue="1" operator="lessThan">
      <formula>-0.03</formula>
    </cfRule>
  </conditionalFormatting>
  <conditionalFormatting sqref="AU5">
    <cfRule type="expression" dxfId="272" priority="621">
      <formula>OR(AU5="no anchor", AU5="no test", AU5="Points &lt; 4")</formula>
    </cfRule>
    <cfRule type="containsBlanks" dxfId="271" priority="622">
      <formula>LEN(TRIM(AU5))=0</formula>
    </cfRule>
    <cfRule type="cellIs" dxfId="270" priority="623" operator="greaterThan">
      <formula>0.03</formula>
    </cfRule>
    <cfRule type="cellIs" dxfId="269" priority="624" stopIfTrue="1" operator="lessThan">
      <formula>-0.03</formula>
    </cfRule>
  </conditionalFormatting>
  <conditionalFormatting sqref="AM5:AR9 AC5:AI9 Y5:Y9">
    <cfRule type="expression" dxfId="268" priority="620">
      <formula>MOD(ROW(),2)=0</formula>
    </cfRule>
  </conditionalFormatting>
  <conditionalFormatting sqref="Z5:Z9 AJ5:AL9">
    <cfRule type="expression" dxfId="267" priority="617">
      <formula>MOD(ROW(),2)=0</formula>
    </cfRule>
    <cfRule type="expression" dxfId="266" priority="619">
      <formula>MOD(ROW(),2)=1</formula>
    </cfRule>
  </conditionalFormatting>
  <conditionalFormatting sqref="D5:D9">
    <cfRule type="expression" dxfId="265" priority="618">
      <formula>MOD(ROW(),2)=1</formula>
    </cfRule>
  </conditionalFormatting>
  <conditionalFormatting sqref="AB5:AB9">
    <cfRule type="expression" dxfId="264" priority="616">
      <formula>MOD(ROW(),2)=0</formula>
    </cfRule>
  </conditionalFormatting>
  <conditionalFormatting sqref="AB5:AB9">
    <cfRule type="expression" dxfId="263" priority="615">
      <formula>MOD(ROW(),2)=1</formula>
    </cfRule>
  </conditionalFormatting>
  <conditionalFormatting sqref="AA5:AA9">
    <cfRule type="expression" dxfId="262" priority="614">
      <formula>MOD(ROW(),2)=0</formula>
    </cfRule>
  </conditionalFormatting>
  <conditionalFormatting sqref="E5:E9 S5:X9 I5:O9">
    <cfRule type="expression" dxfId="261" priority="613">
      <formula>MOD(ROW(),2)=0</formula>
    </cfRule>
  </conditionalFormatting>
  <conditionalFormatting sqref="F5:F9 P5:R9">
    <cfRule type="expression" dxfId="260" priority="611">
      <formula>MOD(ROW(),2)=0</formula>
    </cfRule>
    <cfRule type="expression" dxfId="259" priority="612">
      <formula>MOD(ROW(),2)=1</formula>
    </cfRule>
  </conditionalFormatting>
  <conditionalFormatting sqref="H5:H9">
    <cfRule type="expression" dxfId="258" priority="610">
      <formula>MOD(ROW(),2)=0</formula>
    </cfRule>
  </conditionalFormatting>
  <conditionalFormatting sqref="H5:H9">
    <cfRule type="expression" dxfId="257" priority="609">
      <formula>MOD(ROW(),2)=1</formula>
    </cfRule>
  </conditionalFormatting>
  <conditionalFormatting sqref="G5:G9">
    <cfRule type="expression" dxfId="256" priority="608">
      <formula>MOD(ROW(),2)=0</formula>
    </cfRule>
  </conditionalFormatting>
  <conditionalFormatting sqref="AM40:AR44 AC40:AI44 Y40:Y44">
    <cfRule type="expression" dxfId="255" priority="269">
      <formula>MOD(ROW(),2)=0</formula>
    </cfRule>
  </conditionalFormatting>
  <conditionalFormatting sqref="Z40:Z44 AJ40:AL44">
    <cfRule type="expression" dxfId="254" priority="266">
      <formula>MOD(ROW(),2)=0</formula>
    </cfRule>
    <cfRule type="expression" dxfId="253" priority="268">
      <formula>MOD(ROW(),2)=1</formula>
    </cfRule>
  </conditionalFormatting>
  <conditionalFormatting sqref="D40:D44">
    <cfRule type="expression" dxfId="252" priority="267">
      <formula>MOD(ROW(),2)=1</formula>
    </cfRule>
  </conditionalFormatting>
  <conditionalFormatting sqref="AB40:AB44">
    <cfRule type="expression" dxfId="251" priority="265">
      <formula>MOD(ROW(),2)=0</formula>
    </cfRule>
  </conditionalFormatting>
  <conditionalFormatting sqref="AB40:AB44">
    <cfRule type="expression" dxfId="250" priority="264">
      <formula>MOD(ROW(),2)=1</formula>
    </cfRule>
  </conditionalFormatting>
  <conditionalFormatting sqref="AA40:AA44">
    <cfRule type="expression" dxfId="249" priority="263">
      <formula>MOD(ROW(),2)=0</formula>
    </cfRule>
  </conditionalFormatting>
  <conditionalFormatting sqref="E40:E44 S40:X44 I40:O44">
    <cfRule type="expression" dxfId="248" priority="262">
      <formula>MOD(ROW(),2)=0</formula>
    </cfRule>
  </conditionalFormatting>
  <conditionalFormatting sqref="F40:F44 P40:R44">
    <cfRule type="expression" dxfId="247" priority="260">
      <formula>MOD(ROW(),2)=0</formula>
    </cfRule>
    <cfRule type="expression" dxfId="246" priority="261">
      <formula>MOD(ROW(),2)=1</formula>
    </cfRule>
  </conditionalFormatting>
  <conditionalFormatting sqref="H40:H44">
    <cfRule type="expression" dxfId="245" priority="259">
      <formula>MOD(ROW(),2)=0</formula>
    </cfRule>
  </conditionalFormatting>
  <conditionalFormatting sqref="H40:H44">
    <cfRule type="expression" dxfId="244" priority="258">
      <formula>MOD(ROW(),2)=1</formula>
    </cfRule>
  </conditionalFormatting>
  <conditionalFormatting sqref="G40:G44">
    <cfRule type="expression" dxfId="243" priority="257">
      <formula>MOD(ROW(),2)=0</formula>
    </cfRule>
  </conditionalFormatting>
  <conditionalFormatting sqref="AM45:AR49 AC45:AI49 Y45:Y49">
    <cfRule type="expression" dxfId="242" priority="256">
      <formula>MOD(ROW(),2)=0</formula>
    </cfRule>
  </conditionalFormatting>
  <conditionalFormatting sqref="Z45:Z49 AJ45:AL49">
    <cfRule type="expression" dxfId="241" priority="253">
      <formula>MOD(ROW(),2)=0</formula>
    </cfRule>
    <cfRule type="expression" dxfId="240" priority="255">
      <formula>MOD(ROW(),2)=1</formula>
    </cfRule>
  </conditionalFormatting>
  <conditionalFormatting sqref="D45:D49">
    <cfRule type="expression" dxfId="239" priority="254">
      <formula>MOD(ROW(),2)=1</formula>
    </cfRule>
  </conditionalFormatting>
  <conditionalFormatting sqref="AB45:AB49">
    <cfRule type="expression" dxfId="238" priority="252">
      <formula>MOD(ROW(),2)=0</formula>
    </cfRule>
  </conditionalFormatting>
  <conditionalFormatting sqref="AB45:AB49">
    <cfRule type="expression" dxfId="237" priority="251">
      <formula>MOD(ROW(),2)=1</formula>
    </cfRule>
  </conditionalFormatting>
  <conditionalFormatting sqref="AA45:AA49">
    <cfRule type="expression" dxfId="236" priority="250">
      <formula>MOD(ROW(),2)=0</formula>
    </cfRule>
  </conditionalFormatting>
  <conditionalFormatting sqref="E45:E49 S45:X49 I45:O49">
    <cfRule type="expression" dxfId="235" priority="249">
      <formula>MOD(ROW(),2)=0</formula>
    </cfRule>
  </conditionalFormatting>
  <conditionalFormatting sqref="F45:F49 P45:R49">
    <cfRule type="expression" dxfId="234" priority="247">
      <formula>MOD(ROW(),2)=0</formula>
    </cfRule>
    <cfRule type="expression" dxfId="233" priority="248">
      <formula>MOD(ROW(),2)=1</formula>
    </cfRule>
  </conditionalFormatting>
  <conditionalFormatting sqref="H45:H49">
    <cfRule type="expression" dxfId="232" priority="246">
      <formula>MOD(ROW(),2)=0</formula>
    </cfRule>
  </conditionalFormatting>
  <conditionalFormatting sqref="H45:H49">
    <cfRule type="expression" dxfId="231" priority="245">
      <formula>MOD(ROW(),2)=1</formula>
    </cfRule>
  </conditionalFormatting>
  <conditionalFormatting sqref="G45:G49">
    <cfRule type="expression" dxfId="230" priority="244">
      <formula>MOD(ROW(),2)=0</formula>
    </cfRule>
  </conditionalFormatting>
  <conditionalFormatting sqref="AM50:AR54 AC50:AI54 Y50:Y54">
    <cfRule type="expression" dxfId="229" priority="243">
      <formula>MOD(ROW(),2)=0</formula>
    </cfRule>
  </conditionalFormatting>
  <conditionalFormatting sqref="Z50:Z54 AJ50:AL54">
    <cfRule type="expression" dxfId="228" priority="240">
      <formula>MOD(ROW(),2)=0</formula>
    </cfRule>
    <cfRule type="expression" dxfId="227" priority="242">
      <formula>MOD(ROW(),2)=1</formula>
    </cfRule>
  </conditionalFormatting>
  <conditionalFormatting sqref="D50:D54">
    <cfRule type="expression" dxfId="226" priority="241">
      <formula>MOD(ROW(),2)=1</formula>
    </cfRule>
  </conditionalFormatting>
  <conditionalFormatting sqref="AB50:AB54">
    <cfRule type="expression" dxfId="225" priority="239">
      <formula>MOD(ROW(),2)=0</formula>
    </cfRule>
  </conditionalFormatting>
  <conditionalFormatting sqref="AB50:AB54">
    <cfRule type="expression" dxfId="224" priority="238">
      <formula>MOD(ROW(),2)=1</formula>
    </cfRule>
  </conditionalFormatting>
  <conditionalFormatting sqref="AA50:AA54">
    <cfRule type="expression" dxfId="223" priority="237">
      <formula>MOD(ROW(),2)=0</formula>
    </cfRule>
  </conditionalFormatting>
  <conditionalFormatting sqref="E50:E54 S50:X54 I50:O54">
    <cfRule type="expression" dxfId="222" priority="236">
      <formula>MOD(ROW(),2)=0</formula>
    </cfRule>
  </conditionalFormatting>
  <conditionalFormatting sqref="F50:F54 P50:R54">
    <cfRule type="expression" dxfId="221" priority="234">
      <formula>MOD(ROW(),2)=0</formula>
    </cfRule>
    <cfRule type="expression" dxfId="220" priority="235">
      <formula>MOD(ROW(),2)=1</formula>
    </cfRule>
  </conditionalFormatting>
  <conditionalFormatting sqref="H50:H54">
    <cfRule type="expression" dxfId="219" priority="233">
      <formula>MOD(ROW(),2)=0</formula>
    </cfRule>
  </conditionalFormatting>
  <conditionalFormatting sqref="H50:H54">
    <cfRule type="expression" dxfId="218" priority="232">
      <formula>MOD(ROW(),2)=1</formula>
    </cfRule>
  </conditionalFormatting>
  <conditionalFormatting sqref="G50:G54">
    <cfRule type="expression" dxfId="217" priority="231">
      <formula>MOD(ROW(),2)=0</formula>
    </cfRule>
  </conditionalFormatting>
  <conditionalFormatting sqref="AM55:AR59 AC55:AI59 Y55:Y59">
    <cfRule type="expression" dxfId="216" priority="230">
      <formula>MOD(ROW(),2)=0</formula>
    </cfRule>
  </conditionalFormatting>
  <conditionalFormatting sqref="Z55:Z59 AJ55:AL59">
    <cfRule type="expression" dxfId="215" priority="227">
      <formula>MOD(ROW(),2)=0</formula>
    </cfRule>
    <cfRule type="expression" dxfId="214" priority="229">
      <formula>MOD(ROW(),2)=1</formula>
    </cfRule>
  </conditionalFormatting>
  <conditionalFormatting sqref="D55:D59">
    <cfRule type="expression" dxfId="213" priority="228">
      <formula>MOD(ROW(),2)=1</formula>
    </cfRule>
  </conditionalFormatting>
  <conditionalFormatting sqref="AB55:AB59">
    <cfRule type="expression" dxfId="212" priority="226">
      <formula>MOD(ROW(),2)=0</formula>
    </cfRule>
  </conditionalFormatting>
  <conditionalFormatting sqref="AB55:AB59">
    <cfRule type="expression" dxfId="211" priority="225">
      <formula>MOD(ROW(),2)=1</formula>
    </cfRule>
  </conditionalFormatting>
  <conditionalFormatting sqref="AA55:AA59">
    <cfRule type="expression" dxfId="210" priority="224">
      <formula>MOD(ROW(),2)=0</formula>
    </cfRule>
  </conditionalFormatting>
  <conditionalFormatting sqref="E55:E59 S55:X59 I55:O59">
    <cfRule type="expression" dxfId="209" priority="223">
      <formula>MOD(ROW(),2)=0</formula>
    </cfRule>
  </conditionalFormatting>
  <conditionalFormatting sqref="F55:F59 P55:R59">
    <cfRule type="expression" dxfId="208" priority="221">
      <formula>MOD(ROW(),2)=0</formula>
    </cfRule>
    <cfRule type="expression" dxfId="207" priority="222">
      <formula>MOD(ROW(),2)=1</formula>
    </cfRule>
  </conditionalFormatting>
  <conditionalFormatting sqref="H55:H59">
    <cfRule type="expression" dxfId="206" priority="220">
      <formula>MOD(ROW(),2)=0</formula>
    </cfRule>
  </conditionalFormatting>
  <conditionalFormatting sqref="H55:H59">
    <cfRule type="expression" dxfId="205" priority="219">
      <formula>MOD(ROW(),2)=1</formula>
    </cfRule>
  </conditionalFormatting>
  <conditionalFormatting sqref="G55:G59">
    <cfRule type="expression" dxfId="204" priority="218">
      <formula>MOD(ROW(),2)=0</formula>
    </cfRule>
  </conditionalFormatting>
  <conditionalFormatting sqref="AM60:AR64 AC60:AI64 Y60:Y64">
    <cfRule type="expression" dxfId="203" priority="217">
      <formula>MOD(ROW(),2)=0</formula>
    </cfRule>
  </conditionalFormatting>
  <conditionalFormatting sqref="Z60:Z64 AJ60:AL64">
    <cfRule type="expression" dxfId="202" priority="214">
      <formula>MOD(ROW(),2)=0</formula>
    </cfRule>
    <cfRule type="expression" dxfId="201" priority="216">
      <formula>MOD(ROW(),2)=1</formula>
    </cfRule>
  </conditionalFormatting>
  <conditionalFormatting sqref="D60:D64">
    <cfRule type="expression" dxfId="200" priority="215">
      <formula>MOD(ROW(),2)=1</formula>
    </cfRule>
  </conditionalFormatting>
  <conditionalFormatting sqref="AB60:AB64">
    <cfRule type="expression" dxfId="199" priority="213">
      <formula>MOD(ROW(),2)=0</formula>
    </cfRule>
  </conditionalFormatting>
  <conditionalFormatting sqref="AB60:AB64">
    <cfRule type="expression" dxfId="198" priority="212">
      <formula>MOD(ROW(),2)=1</formula>
    </cfRule>
  </conditionalFormatting>
  <conditionalFormatting sqref="AA60:AA64">
    <cfRule type="expression" dxfId="197" priority="211">
      <formula>MOD(ROW(),2)=0</formula>
    </cfRule>
  </conditionalFormatting>
  <conditionalFormatting sqref="E60:E64 S60:X64 I60:O64">
    <cfRule type="expression" dxfId="196" priority="210">
      <formula>MOD(ROW(),2)=0</formula>
    </cfRule>
  </conditionalFormatting>
  <conditionalFormatting sqref="F60:F64 P60:R64">
    <cfRule type="expression" dxfId="195" priority="208">
      <formula>MOD(ROW(),2)=0</formula>
    </cfRule>
    <cfRule type="expression" dxfId="194" priority="209">
      <formula>MOD(ROW(),2)=1</formula>
    </cfRule>
  </conditionalFormatting>
  <conditionalFormatting sqref="H60:H64">
    <cfRule type="expression" dxfId="193" priority="207">
      <formula>MOD(ROW(),2)=0</formula>
    </cfRule>
  </conditionalFormatting>
  <conditionalFormatting sqref="H60:H64">
    <cfRule type="expression" dxfId="192" priority="206">
      <formula>MOD(ROW(),2)=1</formula>
    </cfRule>
  </conditionalFormatting>
  <conditionalFormatting sqref="G60:G64">
    <cfRule type="expression" dxfId="191" priority="205">
      <formula>MOD(ROW(),2)=0</formula>
    </cfRule>
  </conditionalFormatting>
  <conditionalFormatting sqref="AM65:AR69 AC65:AI69 Y65:Y69">
    <cfRule type="expression" dxfId="190" priority="204">
      <formula>MOD(ROW(),2)=0</formula>
    </cfRule>
  </conditionalFormatting>
  <conditionalFormatting sqref="Z65:Z69 AJ65:AL69">
    <cfRule type="expression" dxfId="189" priority="201">
      <formula>MOD(ROW(),2)=0</formula>
    </cfRule>
    <cfRule type="expression" dxfId="188" priority="203">
      <formula>MOD(ROW(),2)=1</formula>
    </cfRule>
  </conditionalFormatting>
  <conditionalFormatting sqref="D65:D69">
    <cfRule type="expression" dxfId="187" priority="202">
      <formula>MOD(ROW(),2)=1</formula>
    </cfRule>
  </conditionalFormatting>
  <conditionalFormatting sqref="AB65:AB69">
    <cfRule type="expression" dxfId="186" priority="200">
      <formula>MOD(ROW(),2)=0</formula>
    </cfRule>
  </conditionalFormatting>
  <conditionalFormatting sqref="AB65:AB69">
    <cfRule type="expression" dxfId="185" priority="199">
      <formula>MOD(ROW(),2)=1</formula>
    </cfRule>
  </conditionalFormatting>
  <conditionalFormatting sqref="AA65:AA69">
    <cfRule type="expression" dxfId="184" priority="198">
      <formula>MOD(ROW(),2)=0</formula>
    </cfRule>
  </conditionalFormatting>
  <conditionalFormatting sqref="E65:E69 S65:X69 I65:O69">
    <cfRule type="expression" dxfId="183" priority="197">
      <formula>MOD(ROW(),2)=0</formula>
    </cfRule>
  </conditionalFormatting>
  <conditionalFormatting sqref="F65:F69 P65:R69">
    <cfRule type="expression" dxfId="182" priority="195">
      <formula>MOD(ROW(),2)=0</formula>
    </cfRule>
    <cfRule type="expression" dxfId="181" priority="196">
      <formula>MOD(ROW(),2)=1</formula>
    </cfRule>
  </conditionalFormatting>
  <conditionalFormatting sqref="H65:H69">
    <cfRule type="expression" dxfId="180" priority="194">
      <formula>MOD(ROW(),2)=0</formula>
    </cfRule>
  </conditionalFormatting>
  <conditionalFormatting sqref="H65:H69">
    <cfRule type="expression" dxfId="179" priority="193">
      <formula>MOD(ROW(),2)=1</formula>
    </cfRule>
  </conditionalFormatting>
  <conditionalFormatting sqref="G65:G69">
    <cfRule type="expression" dxfId="178" priority="192">
      <formula>MOD(ROW(),2)=0</formula>
    </cfRule>
  </conditionalFormatting>
  <conditionalFormatting sqref="AM70:AR74 AC70:AI74 Y70:Y74">
    <cfRule type="expression" dxfId="177" priority="191">
      <formula>MOD(ROW(),2)=0</formula>
    </cfRule>
  </conditionalFormatting>
  <conditionalFormatting sqref="Z70:Z74 AJ70:AL74">
    <cfRule type="expression" dxfId="176" priority="188">
      <formula>MOD(ROW(),2)=0</formula>
    </cfRule>
    <cfRule type="expression" dxfId="175" priority="190">
      <formula>MOD(ROW(),2)=1</formula>
    </cfRule>
  </conditionalFormatting>
  <conditionalFormatting sqref="D70:D74">
    <cfRule type="expression" dxfId="174" priority="189">
      <formula>MOD(ROW(),2)=1</formula>
    </cfRule>
  </conditionalFormatting>
  <conditionalFormatting sqref="AB70:AB74">
    <cfRule type="expression" dxfId="173" priority="187">
      <formula>MOD(ROW(),2)=0</formula>
    </cfRule>
  </conditionalFormatting>
  <conditionalFormatting sqref="AB70:AB74">
    <cfRule type="expression" dxfId="172" priority="186">
      <formula>MOD(ROW(),2)=1</formula>
    </cfRule>
  </conditionalFormatting>
  <conditionalFormatting sqref="AA70:AA74">
    <cfRule type="expression" dxfId="171" priority="185">
      <formula>MOD(ROW(),2)=0</formula>
    </cfRule>
  </conditionalFormatting>
  <conditionalFormatting sqref="E70:E74 S70:X74 I70:O74">
    <cfRule type="expression" dxfId="170" priority="184">
      <formula>MOD(ROW(),2)=0</formula>
    </cfRule>
  </conditionalFormatting>
  <conditionalFormatting sqref="F70:F74 P70:R74">
    <cfRule type="expression" dxfId="169" priority="182">
      <formula>MOD(ROW(),2)=0</formula>
    </cfRule>
    <cfRule type="expression" dxfId="168" priority="183">
      <formula>MOD(ROW(),2)=1</formula>
    </cfRule>
  </conditionalFormatting>
  <conditionalFormatting sqref="H70:H74">
    <cfRule type="expression" dxfId="167" priority="181">
      <formula>MOD(ROW(),2)=0</formula>
    </cfRule>
  </conditionalFormatting>
  <conditionalFormatting sqref="H70:H74">
    <cfRule type="expression" dxfId="166" priority="180">
      <formula>MOD(ROW(),2)=1</formula>
    </cfRule>
  </conditionalFormatting>
  <conditionalFormatting sqref="G70:G74">
    <cfRule type="expression" dxfId="165" priority="179">
      <formula>MOD(ROW(),2)=0</formula>
    </cfRule>
  </conditionalFormatting>
  <conditionalFormatting sqref="AM75:AR79 AC75:AI79 Y75:Y79">
    <cfRule type="expression" dxfId="164" priority="178">
      <formula>MOD(ROW(),2)=0</formula>
    </cfRule>
  </conditionalFormatting>
  <conditionalFormatting sqref="Z75:Z79 AJ75:AL79">
    <cfRule type="expression" dxfId="163" priority="175">
      <formula>MOD(ROW(),2)=0</formula>
    </cfRule>
    <cfRule type="expression" dxfId="162" priority="177">
      <formula>MOD(ROW(),2)=1</formula>
    </cfRule>
  </conditionalFormatting>
  <conditionalFormatting sqref="D75:D79">
    <cfRule type="expression" dxfId="161" priority="176">
      <formula>MOD(ROW(),2)=1</formula>
    </cfRule>
  </conditionalFormatting>
  <conditionalFormatting sqref="AB75:AB79">
    <cfRule type="expression" dxfId="160" priority="174">
      <formula>MOD(ROW(),2)=0</formula>
    </cfRule>
  </conditionalFormatting>
  <conditionalFormatting sqref="AB75:AB79">
    <cfRule type="expression" dxfId="159" priority="173">
      <formula>MOD(ROW(),2)=1</formula>
    </cfRule>
  </conditionalFormatting>
  <conditionalFormatting sqref="AA75:AA79">
    <cfRule type="expression" dxfId="158" priority="172">
      <formula>MOD(ROW(),2)=0</formula>
    </cfRule>
  </conditionalFormatting>
  <conditionalFormatting sqref="E75:E79 S75:X79 I75:O79">
    <cfRule type="expression" dxfId="157" priority="171">
      <formula>MOD(ROW(),2)=0</formula>
    </cfRule>
  </conditionalFormatting>
  <conditionalFormatting sqref="F75:F79 P75:R79">
    <cfRule type="expression" dxfId="156" priority="169">
      <formula>MOD(ROW(),2)=0</formula>
    </cfRule>
    <cfRule type="expression" dxfId="155" priority="170">
      <formula>MOD(ROW(),2)=1</formula>
    </cfRule>
  </conditionalFormatting>
  <conditionalFormatting sqref="H75:H79">
    <cfRule type="expression" dxfId="154" priority="168">
      <formula>MOD(ROW(),2)=0</formula>
    </cfRule>
  </conditionalFormatting>
  <conditionalFormatting sqref="H75:H79">
    <cfRule type="expression" dxfId="153" priority="167">
      <formula>MOD(ROW(),2)=1</formula>
    </cfRule>
  </conditionalFormatting>
  <conditionalFormatting sqref="G75:G79">
    <cfRule type="expression" dxfId="152" priority="166">
      <formula>MOD(ROW(),2)=0</formula>
    </cfRule>
  </conditionalFormatting>
  <conditionalFormatting sqref="AM80:AR84 AC80:AI84 Y80:Y84">
    <cfRule type="expression" dxfId="151" priority="165">
      <formula>MOD(ROW(),2)=0</formula>
    </cfRule>
  </conditionalFormatting>
  <conditionalFormatting sqref="Z80:Z84 AJ80:AL84">
    <cfRule type="expression" dxfId="150" priority="162">
      <formula>MOD(ROW(),2)=0</formula>
    </cfRule>
    <cfRule type="expression" dxfId="149" priority="164">
      <formula>MOD(ROW(),2)=1</formula>
    </cfRule>
  </conditionalFormatting>
  <conditionalFormatting sqref="D80:D84">
    <cfRule type="expression" dxfId="148" priority="163">
      <formula>MOD(ROW(),2)=1</formula>
    </cfRule>
  </conditionalFormatting>
  <conditionalFormatting sqref="AB80:AB84">
    <cfRule type="expression" dxfId="147" priority="161">
      <formula>MOD(ROW(),2)=0</formula>
    </cfRule>
  </conditionalFormatting>
  <conditionalFormatting sqref="AB80:AB84">
    <cfRule type="expression" dxfId="146" priority="160">
      <formula>MOD(ROW(),2)=1</formula>
    </cfRule>
  </conditionalFormatting>
  <conditionalFormatting sqref="AA80:AA84">
    <cfRule type="expression" dxfId="145" priority="159">
      <formula>MOD(ROW(),2)=0</formula>
    </cfRule>
  </conditionalFormatting>
  <conditionalFormatting sqref="E80:E84 S80:X84 I80:O84">
    <cfRule type="expression" dxfId="144" priority="158">
      <formula>MOD(ROW(),2)=0</formula>
    </cfRule>
  </conditionalFormatting>
  <conditionalFormatting sqref="F80:F84 P80:R84">
    <cfRule type="expression" dxfId="143" priority="156">
      <formula>MOD(ROW(),2)=0</formula>
    </cfRule>
    <cfRule type="expression" dxfId="142" priority="157">
      <formula>MOD(ROW(),2)=1</formula>
    </cfRule>
  </conditionalFormatting>
  <conditionalFormatting sqref="H80:H84">
    <cfRule type="expression" dxfId="141" priority="155">
      <formula>MOD(ROW(),2)=0</formula>
    </cfRule>
  </conditionalFormatting>
  <conditionalFormatting sqref="H80:H84">
    <cfRule type="expression" dxfId="140" priority="154">
      <formula>MOD(ROW(),2)=1</formula>
    </cfRule>
  </conditionalFormatting>
  <conditionalFormatting sqref="G80:G84">
    <cfRule type="expression" dxfId="139" priority="153">
      <formula>MOD(ROW(),2)=0</formula>
    </cfRule>
  </conditionalFormatting>
  <conditionalFormatting sqref="AM85:AR89 AC85:AI89 Y85:Y89">
    <cfRule type="expression" dxfId="138" priority="152">
      <formula>MOD(ROW(),2)=0</formula>
    </cfRule>
  </conditionalFormatting>
  <conditionalFormatting sqref="Z85:Z89 AJ85:AL89">
    <cfRule type="expression" dxfId="137" priority="149">
      <formula>MOD(ROW(),2)=0</formula>
    </cfRule>
    <cfRule type="expression" dxfId="136" priority="151">
      <formula>MOD(ROW(),2)=1</formula>
    </cfRule>
  </conditionalFormatting>
  <conditionalFormatting sqref="D85:D89">
    <cfRule type="expression" dxfId="135" priority="150">
      <formula>MOD(ROW(),2)=1</formula>
    </cfRule>
  </conditionalFormatting>
  <conditionalFormatting sqref="AB85:AB89">
    <cfRule type="expression" dxfId="134" priority="148">
      <formula>MOD(ROW(),2)=0</formula>
    </cfRule>
  </conditionalFormatting>
  <conditionalFormatting sqref="AB85:AB89">
    <cfRule type="expression" dxfId="133" priority="147">
      <formula>MOD(ROW(),2)=1</formula>
    </cfRule>
  </conditionalFormatting>
  <conditionalFormatting sqref="AA85:AA89">
    <cfRule type="expression" dxfId="132" priority="146">
      <formula>MOD(ROW(),2)=0</formula>
    </cfRule>
  </conditionalFormatting>
  <conditionalFormatting sqref="E85:E89 S85:X89 I85:O89">
    <cfRule type="expression" dxfId="131" priority="145">
      <formula>MOD(ROW(),2)=0</formula>
    </cfRule>
  </conditionalFormatting>
  <conditionalFormatting sqref="F85:F89 P85:R89">
    <cfRule type="expression" dxfId="130" priority="143">
      <formula>MOD(ROW(),2)=0</formula>
    </cfRule>
    <cfRule type="expression" dxfId="129" priority="144">
      <formula>MOD(ROW(),2)=1</formula>
    </cfRule>
  </conditionalFormatting>
  <conditionalFormatting sqref="H85:H89">
    <cfRule type="expression" dxfId="128" priority="142">
      <formula>MOD(ROW(),2)=0</formula>
    </cfRule>
  </conditionalFormatting>
  <conditionalFormatting sqref="H85:H89">
    <cfRule type="expression" dxfId="127" priority="141">
      <formula>MOD(ROW(),2)=1</formula>
    </cfRule>
  </conditionalFormatting>
  <conditionalFormatting sqref="G85:G89">
    <cfRule type="expression" dxfId="126" priority="140">
      <formula>MOD(ROW(),2)=0</formula>
    </cfRule>
  </conditionalFormatting>
  <conditionalFormatting sqref="AM90:AR94 AC90:AI94 Y90:Y94">
    <cfRule type="expression" dxfId="125" priority="139">
      <formula>MOD(ROW(),2)=0</formula>
    </cfRule>
  </conditionalFormatting>
  <conditionalFormatting sqref="Z90:Z94 AJ90:AL94">
    <cfRule type="expression" dxfId="124" priority="136">
      <formula>MOD(ROW(),2)=0</formula>
    </cfRule>
    <cfRule type="expression" dxfId="123" priority="138">
      <formula>MOD(ROW(),2)=1</formula>
    </cfRule>
  </conditionalFormatting>
  <conditionalFormatting sqref="D90:D94">
    <cfRule type="expression" dxfId="122" priority="137">
      <formula>MOD(ROW(),2)=1</formula>
    </cfRule>
  </conditionalFormatting>
  <conditionalFormatting sqref="AB90:AB94">
    <cfRule type="expression" dxfId="121" priority="135">
      <formula>MOD(ROW(),2)=0</formula>
    </cfRule>
  </conditionalFormatting>
  <conditionalFormatting sqref="AB90:AB94">
    <cfRule type="expression" dxfId="120" priority="134">
      <formula>MOD(ROW(),2)=1</formula>
    </cfRule>
  </conditionalFormatting>
  <conditionalFormatting sqref="AA90:AA94">
    <cfRule type="expression" dxfId="119" priority="133">
      <formula>MOD(ROW(),2)=0</formula>
    </cfRule>
  </conditionalFormatting>
  <conditionalFormatting sqref="E90:E94 S90:X94 I90:O94">
    <cfRule type="expression" dxfId="118" priority="132">
      <formula>MOD(ROW(),2)=0</formula>
    </cfRule>
  </conditionalFormatting>
  <conditionalFormatting sqref="F90:F94 P90:R94">
    <cfRule type="expression" dxfId="117" priority="130">
      <formula>MOD(ROW(),2)=0</formula>
    </cfRule>
    <cfRule type="expression" dxfId="116" priority="131">
      <formula>MOD(ROW(),2)=1</formula>
    </cfRule>
  </conditionalFormatting>
  <conditionalFormatting sqref="H90:H94">
    <cfRule type="expression" dxfId="115" priority="129">
      <formula>MOD(ROW(),2)=0</formula>
    </cfRule>
  </conditionalFormatting>
  <conditionalFormatting sqref="H90:H94">
    <cfRule type="expression" dxfId="114" priority="128">
      <formula>MOD(ROW(),2)=1</formula>
    </cfRule>
  </conditionalFormatting>
  <conditionalFormatting sqref="G90:G94">
    <cfRule type="expression" dxfId="113" priority="127">
      <formula>MOD(ROW(),2)=0</formula>
    </cfRule>
  </conditionalFormatting>
  <conditionalFormatting sqref="AM95:AR99 AC95:AI99 Y95:Y99">
    <cfRule type="expression" dxfId="112" priority="126">
      <formula>MOD(ROW(),2)=0</formula>
    </cfRule>
  </conditionalFormatting>
  <conditionalFormatting sqref="Z95:Z99 AJ95:AL99">
    <cfRule type="expression" dxfId="111" priority="123">
      <formula>MOD(ROW(),2)=0</formula>
    </cfRule>
    <cfRule type="expression" dxfId="110" priority="125">
      <formula>MOD(ROW(),2)=1</formula>
    </cfRule>
  </conditionalFormatting>
  <conditionalFormatting sqref="D95:D99">
    <cfRule type="expression" dxfId="109" priority="124">
      <formula>MOD(ROW(),2)=1</formula>
    </cfRule>
  </conditionalFormatting>
  <conditionalFormatting sqref="AB95:AB99">
    <cfRule type="expression" dxfId="108" priority="122">
      <formula>MOD(ROW(),2)=0</formula>
    </cfRule>
  </conditionalFormatting>
  <conditionalFormatting sqref="AB95:AB99">
    <cfRule type="expression" dxfId="107" priority="121">
      <formula>MOD(ROW(),2)=1</formula>
    </cfRule>
  </conditionalFormatting>
  <conditionalFormatting sqref="AA95:AA99">
    <cfRule type="expression" dxfId="106" priority="120">
      <formula>MOD(ROW(),2)=0</formula>
    </cfRule>
  </conditionalFormatting>
  <conditionalFormatting sqref="E95:E99 S95:X99 I95:O99">
    <cfRule type="expression" dxfId="105" priority="119">
      <formula>MOD(ROW(),2)=0</formula>
    </cfRule>
  </conditionalFormatting>
  <conditionalFormatting sqref="F95:F99 P95:R99">
    <cfRule type="expression" dxfId="104" priority="117">
      <formula>MOD(ROW(),2)=0</formula>
    </cfRule>
    <cfRule type="expression" dxfId="103" priority="118">
      <formula>MOD(ROW(),2)=1</formula>
    </cfRule>
  </conditionalFormatting>
  <conditionalFormatting sqref="H95:H99">
    <cfRule type="expression" dxfId="102" priority="116">
      <formula>MOD(ROW(),2)=0</formula>
    </cfRule>
  </conditionalFormatting>
  <conditionalFormatting sqref="H95:H99">
    <cfRule type="expression" dxfId="101" priority="115">
      <formula>MOD(ROW(),2)=1</formula>
    </cfRule>
  </conditionalFormatting>
  <conditionalFormatting sqref="G95:G99">
    <cfRule type="expression" dxfId="100" priority="114">
      <formula>MOD(ROW(),2)=0</formula>
    </cfRule>
  </conditionalFormatting>
  <conditionalFormatting sqref="AM100:AR104 AC100:AI104 Y100:Y104">
    <cfRule type="expression" dxfId="99" priority="113">
      <formula>MOD(ROW(),2)=0</formula>
    </cfRule>
  </conditionalFormatting>
  <conditionalFormatting sqref="Z100:Z104 AJ100:AL104">
    <cfRule type="expression" dxfId="98" priority="110">
      <formula>MOD(ROW(),2)=0</formula>
    </cfRule>
    <cfRule type="expression" dxfId="97" priority="112">
      <formula>MOD(ROW(),2)=1</formula>
    </cfRule>
  </conditionalFormatting>
  <conditionalFormatting sqref="D100:D104">
    <cfRule type="expression" dxfId="96" priority="111">
      <formula>MOD(ROW(),2)=1</formula>
    </cfRule>
  </conditionalFormatting>
  <conditionalFormatting sqref="AB100:AB104">
    <cfRule type="expression" dxfId="95" priority="109">
      <formula>MOD(ROW(),2)=0</formula>
    </cfRule>
  </conditionalFormatting>
  <conditionalFormatting sqref="AB100:AB104">
    <cfRule type="expression" dxfId="94" priority="108">
      <formula>MOD(ROW(),2)=1</formula>
    </cfRule>
  </conditionalFormatting>
  <conditionalFormatting sqref="AA100:AA104">
    <cfRule type="expression" dxfId="93" priority="107">
      <formula>MOD(ROW(),2)=0</formula>
    </cfRule>
  </conditionalFormatting>
  <conditionalFormatting sqref="E100:E104 S100:X104 I100:O104">
    <cfRule type="expression" dxfId="92" priority="106">
      <formula>MOD(ROW(),2)=0</formula>
    </cfRule>
  </conditionalFormatting>
  <conditionalFormatting sqref="F100:F104 P100:R104">
    <cfRule type="expression" dxfId="91" priority="104">
      <formula>MOD(ROW(),2)=0</formula>
    </cfRule>
    <cfRule type="expression" dxfId="90" priority="105">
      <formula>MOD(ROW(),2)=1</formula>
    </cfRule>
  </conditionalFormatting>
  <conditionalFormatting sqref="H100:H104">
    <cfRule type="expression" dxfId="89" priority="103">
      <formula>MOD(ROW(),2)=0</formula>
    </cfRule>
  </conditionalFormatting>
  <conditionalFormatting sqref="H100:H104">
    <cfRule type="expression" dxfId="88" priority="102">
      <formula>MOD(ROW(),2)=1</formula>
    </cfRule>
  </conditionalFormatting>
  <conditionalFormatting sqref="G100:G104">
    <cfRule type="expression" dxfId="87" priority="101">
      <formula>MOD(ROW(),2)=0</formula>
    </cfRule>
  </conditionalFormatting>
  <conditionalFormatting sqref="AM105:AR109 AC105:AI109 Y105:Y109">
    <cfRule type="expression" dxfId="86" priority="100">
      <formula>MOD(ROW(),2)=0</formula>
    </cfRule>
  </conditionalFormatting>
  <conditionalFormatting sqref="Z105:Z109 AJ105:AL109">
    <cfRule type="expression" dxfId="85" priority="97">
      <formula>MOD(ROW(),2)=0</formula>
    </cfRule>
    <cfRule type="expression" dxfId="84" priority="99">
      <formula>MOD(ROW(),2)=1</formula>
    </cfRule>
  </conditionalFormatting>
  <conditionalFormatting sqref="D105:D109">
    <cfRule type="expression" dxfId="83" priority="98">
      <formula>MOD(ROW(),2)=1</formula>
    </cfRule>
  </conditionalFormatting>
  <conditionalFormatting sqref="AB105:AB109">
    <cfRule type="expression" dxfId="82" priority="96">
      <formula>MOD(ROW(),2)=0</formula>
    </cfRule>
  </conditionalFormatting>
  <conditionalFormatting sqref="AB105:AB109">
    <cfRule type="expression" dxfId="81" priority="95">
      <formula>MOD(ROW(),2)=1</formula>
    </cfRule>
  </conditionalFormatting>
  <conditionalFormatting sqref="AA105:AA109">
    <cfRule type="expression" dxfId="80" priority="94">
      <formula>MOD(ROW(),2)=0</formula>
    </cfRule>
  </conditionalFormatting>
  <conditionalFormatting sqref="E105:E109 S105:X109 I105:O109">
    <cfRule type="expression" dxfId="79" priority="93">
      <formula>MOD(ROW(),2)=0</formula>
    </cfRule>
  </conditionalFormatting>
  <conditionalFormatting sqref="F105:F109 P105:R109">
    <cfRule type="expression" dxfId="78" priority="91">
      <formula>MOD(ROW(),2)=0</formula>
    </cfRule>
    <cfRule type="expression" dxfId="77" priority="92">
      <formula>MOD(ROW(),2)=1</formula>
    </cfRule>
  </conditionalFormatting>
  <conditionalFormatting sqref="H105:H109">
    <cfRule type="expression" dxfId="76" priority="90">
      <formula>MOD(ROW(),2)=0</formula>
    </cfRule>
  </conditionalFormatting>
  <conditionalFormatting sqref="H105:H109">
    <cfRule type="expression" dxfId="75" priority="89">
      <formula>MOD(ROW(),2)=1</formula>
    </cfRule>
  </conditionalFormatting>
  <conditionalFormatting sqref="G105:G109">
    <cfRule type="expression" dxfId="74" priority="88">
      <formula>MOD(ROW(),2)=0</formula>
    </cfRule>
  </conditionalFormatting>
  <conditionalFormatting sqref="AM110:AR114 AC110:AI114 Y110:Y114">
    <cfRule type="expression" dxfId="73" priority="87">
      <formula>MOD(ROW(),2)=0</formula>
    </cfRule>
  </conditionalFormatting>
  <conditionalFormatting sqref="Z110:Z114 AJ110:AL114">
    <cfRule type="expression" dxfId="72" priority="84">
      <formula>MOD(ROW(),2)=0</formula>
    </cfRule>
    <cfRule type="expression" dxfId="71" priority="86">
      <formula>MOD(ROW(),2)=1</formula>
    </cfRule>
  </conditionalFormatting>
  <conditionalFormatting sqref="D110:D114">
    <cfRule type="expression" dxfId="70" priority="85">
      <formula>MOD(ROW(),2)=1</formula>
    </cfRule>
  </conditionalFormatting>
  <conditionalFormatting sqref="AB110:AB114">
    <cfRule type="expression" dxfId="69" priority="83">
      <formula>MOD(ROW(),2)=0</formula>
    </cfRule>
  </conditionalFormatting>
  <conditionalFormatting sqref="AB110:AB114">
    <cfRule type="expression" dxfId="68" priority="82">
      <formula>MOD(ROW(),2)=1</formula>
    </cfRule>
  </conditionalFormatting>
  <conditionalFormatting sqref="AA110:AA114">
    <cfRule type="expression" dxfId="67" priority="81">
      <formula>MOD(ROW(),2)=0</formula>
    </cfRule>
  </conditionalFormatting>
  <conditionalFormatting sqref="E110:E114 S110:X114 I110:O114">
    <cfRule type="expression" dxfId="66" priority="80">
      <formula>MOD(ROW(),2)=0</formula>
    </cfRule>
  </conditionalFormatting>
  <conditionalFormatting sqref="F110:F114 P110:R114">
    <cfRule type="expression" dxfId="65" priority="78">
      <formula>MOD(ROW(),2)=0</formula>
    </cfRule>
    <cfRule type="expression" dxfId="64" priority="79">
      <formula>MOD(ROW(),2)=1</formula>
    </cfRule>
  </conditionalFormatting>
  <conditionalFormatting sqref="H110:H114">
    <cfRule type="expression" dxfId="63" priority="77">
      <formula>MOD(ROW(),2)=0</formula>
    </cfRule>
  </conditionalFormatting>
  <conditionalFormatting sqref="H110:H114">
    <cfRule type="expression" dxfId="62" priority="76">
      <formula>MOD(ROW(),2)=1</formula>
    </cfRule>
  </conditionalFormatting>
  <conditionalFormatting sqref="G110:G114">
    <cfRule type="expression" dxfId="61" priority="75">
      <formula>MOD(ROW(),2)=0</formula>
    </cfRule>
  </conditionalFormatting>
  <conditionalFormatting sqref="AM115:AR119 AC115:AI119 Y115:Y119">
    <cfRule type="expression" dxfId="60" priority="74">
      <formula>MOD(ROW(),2)=0</formula>
    </cfRule>
  </conditionalFormatting>
  <conditionalFormatting sqref="Z115:Z119 AJ115:AL119">
    <cfRule type="expression" dxfId="59" priority="71">
      <formula>MOD(ROW(),2)=0</formula>
    </cfRule>
    <cfRule type="expression" dxfId="58" priority="73">
      <formula>MOD(ROW(),2)=1</formula>
    </cfRule>
  </conditionalFormatting>
  <conditionalFormatting sqref="D115:D119">
    <cfRule type="expression" dxfId="57" priority="72">
      <formula>MOD(ROW(),2)=1</formula>
    </cfRule>
  </conditionalFormatting>
  <conditionalFormatting sqref="AB115:AB119">
    <cfRule type="expression" dxfId="56" priority="70">
      <formula>MOD(ROW(),2)=0</formula>
    </cfRule>
  </conditionalFormatting>
  <conditionalFormatting sqref="AB115:AB119">
    <cfRule type="expression" dxfId="55" priority="69">
      <formula>MOD(ROW(),2)=1</formula>
    </cfRule>
  </conditionalFormatting>
  <conditionalFormatting sqref="AA115:AA119">
    <cfRule type="expression" dxfId="54" priority="68">
      <formula>MOD(ROW(),2)=0</formula>
    </cfRule>
  </conditionalFormatting>
  <conditionalFormatting sqref="E115:E119 S115:X119 I115:O119">
    <cfRule type="expression" dxfId="53" priority="67">
      <formula>MOD(ROW(),2)=0</formula>
    </cfRule>
  </conditionalFormatting>
  <conditionalFormatting sqref="F115:F119 P115:R119">
    <cfRule type="expression" dxfId="52" priority="65">
      <formula>MOD(ROW(),2)=0</formula>
    </cfRule>
    <cfRule type="expression" dxfId="51" priority="66">
      <formula>MOD(ROW(),2)=1</formula>
    </cfRule>
  </conditionalFormatting>
  <conditionalFormatting sqref="H115:H119">
    <cfRule type="expression" dxfId="50" priority="64">
      <formula>MOD(ROW(),2)=0</formula>
    </cfRule>
  </conditionalFormatting>
  <conditionalFormatting sqref="H115:H119">
    <cfRule type="expression" dxfId="49" priority="63">
      <formula>MOD(ROW(),2)=1</formula>
    </cfRule>
  </conditionalFormatting>
  <conditionalFormatting sqref="G115:G119">
    <cfRule type="expression" dxfId="48" priority="62">
      <formula>MOD(ROW(),2)=0</formula>
    </cfRule>
  </conditionalFormatting>
  <conditionalFormatting sqref="E10:E14 S10:Y14 AM10:AR14 AC10:AI14 I10:O14">
    <cfRule type="expression" dxfId="47" priority="48">
      <formula>MOD(ROW(),2)=0</formula>
    </cfRule>
  </conditionalFormatting>
  <conditionalFormatting sqref="F10:F14 P10:R14 Z10:Z14 AJ10:AL14">
    <cfRule type="expression" dxfId="46" priority="45">
      <formula>MOD(ROW(),2)=0</formula>
    </cfRule>
    <cfRule type="expression" dxfId="45" priority="47">
      <formula>MOD(ROW(),2)=1</formula>
    </cfRule>
  </conditionalFormatting>
  <conditionalFormatting sqref="D10:D14">
    <cfRule type="expression" dxfId="44" priority="46">
      <formula>MOD(ROW(),2)=1</formula>
    </cfRule>
  </conditionalFormatting>
  <conditionalFormatting sqref="H10:H14 AB10:AB14">
    <cfRule type="expression" dxfId="43" priority="44">
      <formula>MOD(ROW(),2)=0</formula>
    </cfRule>
  </conditionalFormatting>
  <conditionalFormatting sqref="H10:H14 AB10:AB14">
    <cfRule type="expression" dxfId="42" priority="43">
      <formula>MOD(ROW(),2)=1</formula>
    </cfRule>
  </conditionalFormatting>
  <conditionalFormatting sqref="G10:G14">
    <cfRule type="expression" dxfId="41" priority="42">
      <formula>MOD(ROW(),2)=0</formula>
    </cfRule>
  </conditionalFormatting>
  <conditionalFormatting sqref="AA10:AA14">
    <cfRule type="expression" dxfId="40" priority="41">
      <formula>MOD(ROW(),2)=0</formula>
    </cfRule>
  </conditionalFormatting>
  <conditionalFormatting sqref="E15:E19 S15:Y19 AM15:AR19 AC15:AI19 I15:O19">
    <cfRule type="expression" dxfId="39" priority="40">
      <formula>MOD(ROW(),2)=0</formula>
    </cfRule>
  </conditionalFormatting>
  <conditionalFormatting sqref="F15:F19 P15:R19 Z15:Z19 AJ15:AL19">
    <cfRule type="expression" dxfId="38" priority="37">
      <formula>MOD(ROW(),2)=0</formula>
    </cfRule>
    <cfRule type="expression" dxfId="37" priority="39">
      <formula>MOD(ROW(),2)=1</formula>
    </cfRule>
  </conditionalFormatting>
  <conditionalFormatting sqref="D15:D19">
    <cfRule type="expression" dxfId="36" priority="38">
      <formula>MOD(ROW(),2)=1</formula>
    </cfRule>
  </conditionalFormatting>
  <conditionalFormatting sqref="H15:H19 AB15:AB19">
    <cfRule type="expression" dxfId="35" priority="36">
      <formula>MOD(ROW(),2)=0</formula>
    </cfRule>
  </conditionalFormatting>
  <conditionalFormatting sqref="H15:H19 AB15:AB19">
    <cfRule type="expression" dxfId="34" priority="35">
      <formula>MOD(ROW(),2)=1</formula>
    </cfRule>
  </conditionalFormatting>
  <conditionalFormatting sqref="G15:G19">
    <cfRule type="expression" dxfId="33" priority="34">
      <formula>MOD(ROW(),2)=0</formula>
    </cfRule>
  </conditionalFormatting>
  <conditionalFormatting sqref="AA15:AA19">
    <cfRule type="expression" dxfId="32" priority="33">
      <formula>MOD(ROW(),2)=0</formula>
    </cfRule>
  </conditionalFormatting>
  <conditionalFormatting sqref="E20:E24 S20:Y24 AM20:AR24 AC20:AI24 I20:O24">
    <cfRule type="expression" dxfId="31" priority="32">
      <formula>MOD(ROW(),2)=0</formula>
    </cfRule>
  </conditionalFormatting>
  <conditionalFormatting sqref="F20:F24 P20:R24 Z20:Z24 AJ20:AL24">
    <cfRule type="expression" dxfId="30" priority="29">
      <formula>MOD(ROW(),2)=0</formula>
    </cfRule>
    <cfRule type="expression" dxfId="29" priority="31">
      <formula>MOD(ROW(),2)=1</formula>
    </cfRule>
  </conditionalFormatting>
  <conditionalFormatting sqref="D20:D24">
    <cfRule type="expression" dxfId="28" priority="30">
      <formula>MOD(ROW(),2)=1</formula>
    </cfRule>
  </conditionalFormatting>
  <conditionalFormatting sqref="H20:H24 AB20:AB24">
    <cfRule type="expression" dxfId="27" priority="28">
      <formula>MOD(ROW(),2)=0</formula>
    </cfRule>
  </conditionalFormatting>
  <conditionalFormatting sqref="H20:H24 AB20:AB24">
    <cfRule type="expression" dxfId="26" priority="27">
      <formula>MOD(ROW(),2)=1</formula>
    </cfRule>
  </conditionalFormatting>
  <conditionalFormatting sqref="G20:G24">
    <cfRule type="expression" dxfId="25" priority="26">
      <formula>MOD(ROW(),2)=0</formula>
    </cfRule>
  </conditionalFormatting>
  <conditionalFormatting sqref="AA20:AA24">
    <cfRule type="expression" dxfId="24" priority="25">
      <formula>MOD(ROW(),2)=0</formula>
    </cfRule>
  </conditionalFormatting>
  <conditionalFormatting sqref="E25:E29 S25:Y29 AM25:AR29 AC25:AI29 I25:O29">
    <cfRule type="expression" dxfId="23" priority="24">
      <formula>MOD(ROW(),2)=0</formula>
    </cfRule>
  </conditionalFormatting>
  <conditionalFormatting sqref="F25:F29 P25:R29 Z25:Z29 AJ25:AL29">
    <cfRule type="expression" dxfId="22" priority="21">
      <formula>MOD(ROW(),2)=0</formula>
    </cfRule>
    <cfRule type="expression" dxfId="21" priority="23">
      <formula>MOD(ROW(),2)=1</formula>
    </cfRule>
  </conditionalFormatting>
  <conditionalFormatting sqref="D25:D29">
    <cfRule type="expression" dxfId="20" priority="22">
      <formula>MOD(ROW(),2)=1</formula>
    </cfRule>
  </conditionalFormatting>
  <conditionalFormatting sqref="H25:H29 AB25:AB29">
    <cfRule type="expression" dxfId="19" priority="20">
      <formula>MOD(ROW(),2)=0</formula>
    </cfRule>
  </conditionalFormatting>
  <conditionalFormatting sqref="H25:H29 AB25:AB29">
    <cfRule type="expression" dxfId="18" priority="19">
      <formula>MOD(ROW(),2)=1</formula>
    </cfRule>
  </conditionalFormatting>
  <conditionalFormatting sqref="G25:G29">
    <cfRule type="expression" dxfId="17" priority="18">
      <formula>MOD(ROW(),2)=0</formula>
    </cfRule>
  </conditionalFormatting>
  <conditionalFormatting sqref="AA25:AA29">
    <cfRule type="expression" dxfId="16" priority="17">
      <formula>MOD(ROW(),2)=0</formula>
    </cfRule>
  </conditionalFormatting>
  <conditionalFormatting sqref="E30:E34 S30:Y34 AM30:AR34 AC30:AI34 I30:O34">
    <cfRule type="expression" dxfId="15" priority="16">
      <formula>MOD(ROW(),2)=0</formula>
    </cfRule>
  </conditionalFormatting>
  <conditionalFormatting sqref="F30:F34 P30:R34 Z30:Z34 AJ30:AL34">
    <cfRule type="expression" dxfId="14" priority="13">
      <formula>MOD(ROW(),2)=0</formula>
    </cfRule>
    <cfRule type="expression" dxfId="13" priority="15">
      <formula>MOD(ROW(),2)=1</formula>
    </cfRule>
  </conditionalFormatting>
  <conditionalFormatting sqref="D30:D34">
    <cfRule type="expression" dxfId="12" priority="14">
      <formula>MOD(ROW(),2)=1</formula>
    </cfRule>
  </conditionalFormatting>
  <conditionalFormatting sqref="H30:H34 AB30:AB34">
    <cfRule type="expression" dxfId="11" priority="12">
      <formula>MOD(ROW(),2)=0</formula>
    </cfRule>
  </conditionalFormatting>
  <conditionalFormatting sqref="H30:H34 AB30:AB34">
    <cfRule type="expression" dxfId="10" priority="11">
      <formula>MOD(ROW(),2)=1</formula>
    </cfRule>
  </conditionalFormatting>
  <conditionalFormatting sqref="G30:G34">
    <cfRule type="expression" dxfId="9" priority="10">
      <formula>MOD(ROW(),2)=0</formula>
    </cfRule>
  </conditionalFormatting>
  <conditionalFormatting sqref="AA30:AA34">
    <cfRule type="expression" dxfId="8" priority="9">
      <formula>MOD(ROW(),2)=0</formula>
    </cfRule>
  </conditionalFormatting>
  <conditionalFormatting sqref="E35:E39 S35:Y39 AM35:AR39 AC35:AI39 I35:O39">
    <cfRule type="expression" dxfId="7" priority="8">
      <formula>MOD(ROW(),2)=0</formula>
    </cfRule>
  </conditionalFormatting>
  <conditionalFormatting sqref="F35:F39 P35:R39 Z35:Z39 AJ35:AL39">
    <cfRule type="expression" dxfId="6" priority="5">
      <formula>MOD(ROW(),2)=0</formula>
    </cfRule>
    <cfRule type="expression" dxfId="5" priority="7">
      <formula>MOD(ROW(),2)=1</formula>
    </cfRule>
  </conditionalFormatting>
  <conditionalFormatting sqref="D35:D39">
    <cfRule type="expression" dxfId="4" priority="6">
      <formula>MOD(ROW(),2)=1</formula>
    </cfRule>
  </conditionalFormatting>
  <conditionalFormatting sqref="H35:H39 AB35:AB39">
    <cfRule type="expression" dxfId="3" priority="4">
      <formula>MOD(ROW(),2)=0</formula>
    </cfRule>
  </conditionalFormatting>
  <conditionalFormatting sqref="H35:H39 AB35:AB39">
    <cfRule type="expression" dxfId="2" priority="3">
      <formula>MOD(ROW(),2)=1</formula>
    </cfRule>
  </conditionalFormatting>
  <conditionalFormatting sqref="G35:G39">
    <cfRule type="expression" dxfId="1" priority="2">
      <formula>MOD(ROW(),2)=0</formula>
    </cfRule>
  </conditionalFormatting>
  <conditionalFormatting sqref="AA35:AA39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Summary</vt:lpstr>
      <vt:lpstr>names</vt:lpstr>
      <vt:lpstr>Graph</vt:lpstr>
      <vt:lpstr>C1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N18175</dc:title>
  <dc:creator>Jean</dc:creator>
  <cp:lastModifiedBy>流洋 古</cp:lastModifiedBy>
  <dcterms:created xsi:type="dcterms:W3CDTF">2019-03-01T14:42:18Z</dcterms:created>
  <dcterms:modified xsi:type="dcterms:W3CDTF">2026-04-03T11:32:15Z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2019-03-01T14:42:18Z</vt:filetime>
  </property>
</Properties>
</file>