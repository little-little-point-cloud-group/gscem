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mc\Desktop\"/>
    </mc:Choice>
  </mc:AlternateContent>
  <xr:revisionPtr revIDLastSave="0" documentId="13_ncr:1_{D1B5B503-25A3-469D-B2E6-52F2E4F1DA67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Summary" sheetId="1" r:id="rId1"/>
    <sheet name="names" sheetId="4" state="hidden" r:id="rId2"/>
    <sheet name="Graph" sheetId="25" r:id="rId3"/>
    <sheet name="C1" sheetId="5" r:id="rId4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title">CONCATENATE([0]!graph_a_y_title, " (Graph a)")</definedName>
    <definedName name="graph_a_x_range_A">IF(ISREF([0]!graph_a_x_range_A_),[0]!graph_a_x_range_A_,{0})</definedName>
    <definedName name="graph_a_x_range_A_">INDEX(INDIRECT(VLOOKUP("range." &amp;#REF! &amp;"." &amp;#REF!, names!$A:$B,2,0)), 0, VLOOKUP("col." &amp;#REF! &amp;".A." &amp;#REF!, names!$A:$B,2,0))</definedName>
    <definedName name="graph_a_x_range_B">IF(ISREF([0]!graph_a_x_range_B_),[0]!graph_a_x_range_B_,{0})</definedName>
    <definedName name="graph_a_x_range_B_">INDEX(INDIRECT(VLOOKUP("range." &amp;#REF! &amp;"." &amp;#REF!, names!$A:$B,2,0)), 0, VLOOKUP("col." &amp;#REF! &amp;".B." &amp;#REF!, names!$A:$B,2,0))</definedName>
    <definedName name="graph_a_x_title">OFFSET([0]!all_cols, MATCH(#REF!, [0]!all_cols, 0)-1,1,1,1)</definedName>
    <definedName name="graph_a_y_range_A">IF(ISREF([0]!graph_a_y_range_A_),[0]!graph_a_y_range_A_,{0})</definedName>
    <definedName name="graph_a_y_range_A_">INDEX(INDIRECT(VLOOKUP("range." &amp;#REF! &amp;"." &amp;#REF!, names!$A:$B,2,0)), 0, VLOOKUP("col." &amp;#REF! &amp;".A." &amp;#REF!, names!$A:$B,2,0))</definedName>
    <definedName name="graph_a_y_range_B">IF(ISREF([0]!graph_a_y_range_B_),[0]!graph_a_y_range_B_,{0})</definedName>
    <definedName name="graph_a_y_range_B_">INDEX(INDIRECT(VLOOKUP("range." &amp;#REF! &amp;"." &amp;#REF!, names!$A:$B,2,0)), 0, VLOOKUP("col." &amp;#REF! &amp;".B." &amp;#REF!, names!$A:$B,2,0))</definedName>
    <definedName name="graph_a_y_title">OFFSET([0]!all_cols, MATCH(#REF!, [0]!all_cols, 0)-1,1,1,1)</definedName>
    <definedName name="graph_b_A_title">INDIRECT(VLOOKUP("name.A."&amp;#REF!,names!$A:$B,2,0))</definedName>
    <definedName name="graph_b_B_title">INDIRECT(VLOOKUP("name.B."&amp;#REF!,names!$A:$B,2,0))</definedName>
    <definedName name="graph_b_title">CONCATENATE([0]!graph_b_y_title, " (Graph b)")</definedName>
    <definedName name="graph_b_x_range_A">IF(ISREF([0]!graph_b_x_range_A_),[0]!graph_b_x_range_A_,{0})</definedName>
    <definedName name="graph_b_x_range_A_">INDEX(INDIRECT(VLOOKUP("range." &amp;#REF! &amp;"." &amp;#REF!, names!$A:$B,2,0)), 0, VLOOKUP("col." &amp;#REF! &amp;".A." &amp;#REF!, names!$A:$B,2,0))</definedName>
    <definedName name="graph_b_x_range_B">IF(ISREF([0]!graph_b_x_range_B_),[0]!graph_b_x_range_B_,{0})</definedName>
    <definedName name="graph_b_x_range_B_">INDEX(INDIRECT(VLOOKUP("range." &amp;#REF! &amp;"." &amp;#REF!, names!$A:$B,2,0)), 0, VLOOKUP("col." &amp;#REF! &amp;".B." &amp;#REF!, names!$A:$B,2,0))</definedName>
    <definedName name="graph_b_x_title">OFFSET([0]!all_cols, MATCH(#REF!, [0]!all_cols, 0)-1,1,1,1)</definedName>
    <definedName name="graph_b_y_range_A">IF(ISREF([0]!graph_b_y_range_A_),[0]!graph_b_y_range_A_,{0})</definedName>
    <definedName name="graph_b_y_range_A_">INDEX(INDIRECT(VLOOKUP("range." &amp;#REF! &amp;"." &amp;#REF!, names!$A:$B,2,0)), 0, VLOOKUP("col." &amp;#REF! &amp;".A." &amp;#REF!, names!$A:$B,2,0))</definedName>
    <definedName name="graph_b_y_range_B">IF(ISREF([0]!graph_b_y_range_B_),[0]!graph_b_y_range_B_,{0})</definedName>
    <definedName name="graph_b_y_range_B_">INDEX(INDIRECT(VLOOKUP("range." &amp;#REF! &amp;"." &amp;#REF!, names!$A:$B,2,0)), 0, VLOOKUP("col." &amp;#REF! &amp;".B." &amp;#REF!, names!$A:$B,2,0))</definedName>
    <definedName name="graph_b_y_title">OFFSET([0]!all_cols, MATCH(#REF!, [0]!all_cols, 0)-1,1,1,1)</definedName>
    <definedName name="graph_c_A_title">INDIRECT(VLOOKUP("name.A."&amp;#REF!,names!$A:$B,2,0))</definedName>
    <definedName name="graph_c_B_title">INDIRECT(VLOOKUP("name.B."&amp;#REF!,names!$A:$B,2,0))</definedName>
    <definedName name="graph_c_title">CONCATENATE([0]!graph_c_y_title, " (Graph c)")</definedName>
    <definedName name="graph_c_x_range_A">IF(ISREF([0]!graph_c_x_range_A_),[0]!graph_c_x_range_A_,{0})</definedName>
    <definedName name="graph_c_x_range_A_">INDEX(INDIRECT(VLOOKUP("range." &amp;#REF! &amp;"." &amp;#REF!, names!$A:$B,2,0)), 0, VLOOKUP("col." &amp;#REF! &amp;".A." &amp;#REF!, names!$A:$B,2,0))</definedName>
    <definedName name="graph_c_x_range_B">IF(ISREF([0]!graph_c_x_range_B_),[0]!graph_c_x_range_B_,{0})</definedName>
    <definedName name="graph_c_x_range_B_">INDEX(INDIRECT(VLOOKUP("range." &amp;#REF! &amp;"." &amp;#REF!, names!$A:$B,2,0)), 0, VLOOKUP("col." &amp;#REF! &amp;".B." &amp;#REF!, names!$A:$B,2,0))</definedName>
    <definedName name="graph_c_x_title">OFFSET([0]!all_cols, MATCH(#REF!, [0]!all_cols, 0)-1,1,1,1)</definedName>
    <definedName name="graph_c_y_range_A">IF(ISREF([0]!graph_c_y_range_A_),[0]!graph_c_y_range_A_,{0})</definedName>
    <definedName name="graph_c_y_range_A_">INDEX(INDIRECT(VLOOKUP("range." &amp;#REF! &amp;"." &amp;#REF!, names!$A:$B,2,0)), 0, VLOOKUP("col." &amp;#REF! &amp;".A." &amp;#REF!, names!$A:$B,2,0))</definedName>
    <definedName name="graph_c_y_range_B">IF(ISREF([0]!graph_c_y_range_B_),[0]!graph_c_y_range_B_,{0})</definedName>
    <definedName name="graph_c_y_range_B_">INDEX(INDIRECT(VLOOKUP("range." &amp;#REF! &amp;"." &amp;#REF!, names!$A:$B,2,0)), 0, VLOOKUP("col." &amp;#REF! &amp;".B." &amp;#REF!, names!$A:$B,2,0))</definedName>
    <definedName name="graph_c_y_title">OFFSET([0]!all_cols, MATCH(#REF!, [0]!all_cols, 0)-1,1,1,1)</definedName>
    <definedName name="graph_d_A_title">INDIRECT(VLOOKUP("name.A."&amp;#REF!,names!$A:$B,2,0))</definedName>
    <definedName name="graph_d_B_title">INDIRECT(VLOOKUP("name.B."&amp;#REF!,names!$A:$B,2,0))</definedName>
    <definedName name="graph_d_title">CONCATENATE([0]!graph_d_y_title, " (Graph d)")</definedName>
    <definedName name="graph_d_x_range_A">IF(ISREF([0]!graph_d_x_range_A_),[0]!graph_d_x_range_A_,{0})</definedName>
    <definedName name="graph_d_x_range_A_">INDEX(INDIRECT(VLOOKUP("range." &amp;#REF! &amp;"." &amp;#REF!, names!$A:$B,2,0)), 0, VLOOKUP("col." &amp;#REF! &amp;".A." &amp;#REF!, names!$A:$B,2,0))</definedName>
    <definedName name="graph_d_x_range_B">IF(ISREF([0]!graph_d_x_range_B_),[0]!graph_d_x_range_B_,{0})</definedName>
    <definedName name="graph_d_x_range_B_">INDEX(INDIRECT(VLOOKUP("range." &amp;#REF! &amp;"." &amp;#REF!, names!$A:$B,2,0)), 0, VLOOKUP("col." &amp;#REF! &amp;".B." &amp;#REF!, names!$A:$B,2,0))</definedName>
    <definedName name="graph_d_x_title">OFFSET([0]!all_cols, MATCH(#REF!, [0]!all_cols, 0)-1,1,1,1)</definedName>
    <definedName name="graph_d_y_range_A">IF(ISREF([0]!graph_d_y_range_A_),[0]!graph_d_y_range_A_,{0})</definedName>
    <definedName name="graph_d_y_range_A_">INDEX(INDIRECT(VLOOKUP("range." &amp;#REF! &amp;"." &amp;#REF!, names!$A:$B,2,0)), 0, VLOOKUP("col." &amp;#REF! &amp;".A." &amp;#REF!, names!$A:$B,2,0))</definedName>
    <definedName name="graph_d_y_range_B">IF(ISREF([0]!graph_d_y_range_B_),[0]!graph_d_y_range_B_,{0})</definedName>
    <definedName name="graph_d_y_range_B_">INDEX(INDIRECT(VLOOKUP("range." &amp;#REF! &amp;"." &amp;#REF!, names!$A:$B,2,0)), 0, VLOOKUP("col." &amp;#REF! &amp;".B." &amp;#REF!, names!$A:$B,2,0))</definedName>
    <definedName name="graph_d_y_title">OFFSET([0]!all_cols, MATCH(#REF!, [0]!all_cols, 0)-1,1,1,1)</definedName>
    <definedName name="graph_e_A_title">INDIRECT(VLOOKUP("name.A."&amp;#REF!,names!$A:$B,2,0))</definedName>
    <definedName name="graph_e_B_title">INDIRECT(VLOOKUP("name.B."&amp;#REF!,names!$A:$B,2,0))</definedName>
    <definedName name="graph_e_title">CONCATENATE([0]!graph_e_y_title, " (Graph e)")</definedName>
    <definedName name="graph_e_x_range_A">IF(ISREF([0]!graph_e_x_range_A_),[0]!graph_e_x_range_A_,{0})</definedName>
    <definedName name="graph_e_x_range_A_">INDEX(INDIRECT(VLOOKUP("range." &amp;#REF! &amp;"." &amp;#REF!, names!$A:$B,2,0)), 0, VLOOKUP("col." &amp;#REF! &amp;".A." &amp;#REF!, names!$A:$B,2,0))</definedName>
    <definedName name="graph_e_x_range_B">IF(ISREF([0]!graph_e_x_range_B_),[0]!graph_e_x_range_B_,{0})</definedName>
    <definedName name="graph_e_x_range_B_">INDEX(INDIRECT(VLOOKUP("range." &amp;#REF! &amp;"." &amp;#REF!, names!$A:$B,2,0)), 0, VLOOKUP("col." &amp;#REF! &amp;".B." &amp;#REF!, names!$A:$B,2,0))</definedName>
    <definedName name="graph_e_x_title">OFFSET([0]!all_cols, MATCH(#REF!, [0]!all_cols, 0)-1,1,1,1)</definedName>
    <definedName name="graph_e_y_range_A">IF(ISREF([0]!graph_e_y_range_A_),[0]!graph_e_y_range_A_,{0})</definedName>
    <definedName name="graph_e_y_range_A_">INDEX(INDIRECT(VLOOKUP("range." &amp;#REF! &amp;"." &amp;#REF!, names!$A:$B,2,0)), 0, VLOOKUP("col." &amp;#REF! &amp;".A." &amp;#REF!, names!$A:$B,2,0))</definedName>
    <definedName name="graph_e_y_range_B">IF(ISREF([0]!graph_e_y_range_B_),[0]!graph_e_y_range_B_,{0})</definedName>
    <definedName name="graph_e_y_range_B_">INDEX(INDIRECT(VLOOKUP("range." &amp;#REF! &amp;"." &amp;#REF!, names!$A:$B,2,0)), 0, VLOOKUP("col." &amp;#REF! &amp;".B." &amp;#REF!, names!$A:$B,2,0))</definedName>
    <definedName name="graph_e_y_title">OFFSET([0]!all_cols, MATCH(#REF!, [0]!all_cols, 0)-1,1,1,1)</definedName>
    <definedName name="graph_f_A_title">INDIRECT(VLOOKUP("name.A."&amp;#REF!,names!$A:$B,2,0))</definedName>
    <definedName name="graph_f_B_title">INDIRECT(VLOOKUP("name.B."&amp;#REF!,names!$A:$B,2,0))</definedName>
    <definedName name="graph_f_title">CONCATENATE([0]!graph_f_y_title, " (Graph f)")</definedName>
    <definedName name="graph_f_x_range_A">IF(ISREF([0]!graph_f_x_range_A_),[0]!graph_f_x_range_A_,{0})</definedName>
    <definedName name="graph_f_x_range_A_">INDEX(INDIRECT(VLOOKUP("range." &amp;#REF! &amp;"." &amp;#REF!, names!$A:$B,2,0)), 0, VLOOKUP("col." &amp;#REF! &amp;".A." &amp;#REF!, names!$A:$B,2,0))</definedName>
    <definedName name="graph_f_x_range_B">IF(ISREF([0]!graph_f_x_range_B_),[0]!graph_f_x_range_B_,{0})</definedName>
    <definedName name="graph_f_x_range_B_">INDEX(INDIRECT(VLOOKUP("range." &amp;#REF! &amp;"." &amp;#REF!, names!$A:$B,2,0)), 0, VLOOKUP("col." &amp;#REF! &amp;".B." &amp;#REF!, names!$A:$B,2,0))</definedName>
    <definedName name="graph_f_x_title">OFFSET([0]!all_cols, MATCH(#REF!, [0]!all_cols, 0)-1,1,1,1)</definedName>
    <definedName name="graph_f_y_range_A">IF(ISREF([0]!graph_f_y_range_A_),[0]!graph_f_y_range_A_,{0})</definedName>
    <definedName name="graph_f_y_range_A_">INDEX(INDIRECT(VLOOKUP("range." &amp;#REF! &amp;"." &amp;#REF!, names!$A:$B,2,0)), 0, VLOOKUP("col." &amp;#REF! &amp;".A." &amp;#REF!, names!$A:$B,2,0))</definedName>
    <definedName name="graph_f_y_range_B">IF(ISREF([0]!graph_f_y_range_B_),[0]!graph_f_y_range_B_,{0})</definedName>
    <definedName name="graph_f_y_range_B_">INDEX(INDIRECT(VLOOKUP("range." &amp;#REF! &amp;"." &amp;#REF!, names!$A:$B,2,0)), 0, VLOOKUP("col." &amp;#REF! &amp;".B." &amp;#REF!, names!$A:$B,2,0))</definedName>
    <definedName name="graph_f_y_title">OFFSET([0]!all_cols, MATCH(#REF!, [0]!all_cols, 0)-1,1,1,1)</definedName>
    <definedName name="OLE_LINK20" localSheetId="3">'C1'!#REF!</definedName>
    <definedName name="OLE_LINK41" localSheetId="3">'C1'!#REF!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5" l="1"/>
  <c r="D54" i="5"/>
  <c r="E54" i="5"/>
  <c r="F54" i="5"/>
  <c r="G54" i="5"/>
  <c r="H54" i="5"/>
  <c r="I54" i="5"/>
  <c r="J54" i="5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AC54" i="5" s="1"/>
  <c r="AD54" i="5" s="1"/>
  <c r="AE54" i="5" s="1"/>
  <c r="AF54" i="5" s="1"/>
  <c r="AG54" i="5" s="1"/>
  <c r="AH54" i="5" s="1"/>
  <c r="AI54" i="5" s="1"/>
  <c r="AJ54" i="5" s="1"/>
  <c r="AK54" i="5" s="1"/>
  <c r="AL54" i="5" s="1"/>
  <c r="AM54" i="5" s="1"/>
  <c r="AN54" i="5" s="1"/>
  <c r="AO54" i="5" s="1"/>
  <c r="AP54" i="5" s="1"/>
  <c r="AQ54" i="5" s="1"/>
  <c r="AR54" i="5" s="1"/>
  <c r="AS54" i="5" s="1"/>
  <c r="AT54" i="5" s="1"/>
  <c r="B54" i="5"/>
  <c r="D2" i="25"/>
  <c r="AS5" i="5" a="1"/>
  <c r="AS5" i="5" l="1"/>
  <c r="M1" i="25"/>
  <c r="F4" i="25"/>
  <c r="H1" i="25"/>
  <c r="J7" i="1"/>
  <c r="J14" i="1"/>
  <c r="K6" i="25"/>
  <c r="L4" i="25"/>
  <c r="L5" i="25"/>
  <c r="I8" i="25"/>
  <c r="N4" i="25"/>
  <c r="Q5" i="25"/>
  <c r="K5" i="25"/>
  <c r="N7" i="25"/>
  <c r="I6" i="25"/>
  <c r="O5" i="25"/>
  <c r="O8" i="25"/>
  <c r="M8" i="25"/>
  <c r="L8" i="25"/>
  <c r="Q8" i="25"/>
  <c r="I5" i="25"/>
  <c r="N8" i="25"/>
  <c r="P6" i="25"/>
  <c r="O4" i="25"/>
  <c r="O7" i="25"/>
  <c r="O6" i="25"/>
  <c r="H4" i="25"/>
  <c r="P8" i="25"/>
  <c r="L7" i="25"/>
  <c r="N5" i="25"/>
  <c r="M6" i="25"/>
  <c r="Q4" i="25"/>
  <c r="J7" i="25"/>
  <c r="P7" i="25"/>
  <c r="K4" i="25"/>
  <c r="J8" i="25"/>
  <c r="Q7" i="25"/>
  <c r="J5" i="25"/>
  <c r="P5" i="25"/>
  <c r="J4" i="25"/>
  <c r="K8" i="25"/>
  <c r="N6" i="25"/>
  <c r="I7" i="25"/>
  <c r="M5" i="25"/>
  <c r="I4" i="25"/>
  <c r="Q6" i="25"/>
  <c r="M7" i="25"/>
  <c r="M4" i="25"/>
  <c r="P4" i="25"/>
  <c r="L6" i="25"/>
  <c r="K7" i="25"/>
  <c r="J6" i="25"/>
  <c r="V8" i="25" l="1"/>
  <c r="V7" i="25"/>
  <c r="V6" i="25"/>
  <c r="V5" i="25"/>
  <c r="V4" i="25"/>
  <c r="U8" i="25"/>
  <c r="U7" i="25"/>
  <c r="U6" i="25"/>
  <c r="U5" i="25"/>
  <c r="U4" i="25"/>
  <c r="T8" i="25"/>
  <c r="T7" i="25"/>
  <c r="T6" i="25"/>
  <c r="T5" i="25"/>
  <c r="T4" i="25"/>
  <c r="R4" i="25"/>
  <c r="S4" i="25"/>
  <c r="S5" i="25"/>
  <c r="S6" i="25"/>
  <c r="S7" i="25"/>
  <c r="S8" i="25"/>
  <c r="Z4" i="25" a="1"/>
  <c r="AA4" i="25" a="1"/>
  <c r="AB4" i="25" a="1"/>
  <c r="W4" i="25" a="1"/>
  <c r="X4" i="25" a="1"/>
  <c r="H8" i="25"/>
  <c r="H7" i="25"/>
  <c r="H6" i="25"/>
  <c r="H5" i="25"/>
  <c r="AA4" i="25" l="1"/>
  <c r="Z4" i="25"/>
  <c r="AB4" i="25"/>
  <c r="X4" i="25"/>
  <c r="W4" i="25"/>
  <c r="R6" i="25"/>
  <c r="R7" i="25"/>
  <c r="R5" i="25"/>
  <c r="R8" i="25"/>
  <c r="Y4" i="25" a="1"/>
  <c r="Y4" i="25" l="1"/>
  <c r="BB20" i="5"/>
  <c r="BJ5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BL20" i="5"/>
  <c r="BK20" i="5"/>
  <c r="BJ20" i="5"/>
  <c r="BI20" i="5"/>
  <c r="BH20" i="5"/>
  <c r="BG20" i="5"/>
  <c r="BF20" i="5"/>
  <c r="BE20" i="5"/>
  <c r="BD20" i="5"/>
  <c r="BC20" i="5"/>
  <c r="BA20" i="5"/>
  <c r="AZ20" i="5"/>
  <c r="AY20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Z5" i="5"/>
  <c r="BA5" i="5"/>
  <c r="BB5" i="5"/>
  <c r="BC5" i="5"/>
  <c r="BD5" i="5"/>
  <c r="BE5" i="5"/>
  <c r="BF5" i="5"/>
  <c r="BG5" i="5"/>
  <c r="BH5" i="5"/>
  <c r="BI5" i="5"/>
  <c r="BK5" i="5"/>
  <c r="BL5" i="5"/>
  <c r="AY5" i="5"/>
  <c r="AV5" i="5" a="1"/>
  <c r="AV5" i="5" l="1"/>
  <c r="G7" i="1" s="1"/>
  <c r="AV25" i="5" a="1"/>
  <c r="AW25" i="5" a="1"/>
  <c r="AX20" i="5" a="1"/>
  <c r="AW15" i="5" a="1"/>
  <c r="AV40" i="5" a="1"/>
  <c r="AW30" i="5" a="1"/>
  <c r="AX30" i="5" a="1"/>
  <c r="AX40" i="5" a="1"/>
  <c r="AX15" i="5" a="1"/>
  <c r="AW35" i="5" a="1"/>
  <c r="AV20" i="5" a="1"/>
  <c r="AV30" i="5" a="1"/>
  <c r="AW40" i="5" a="1"/>
  <c r="AX35" i="5" a="1"/>
  <c r="AX25" i="5" a="1"/>
  <c r="AV15" i="5" a="1"/>
  <c r="AV35" i="5" a="1"/>
  <c r="AU30" i="5" a="1"/>
  <c r="AW20" i="5" a="1"/>
  <c r="AX10" i="5" a="1"/>
  <c r="AX5" i="5" a="1"/>
  <c r="AW10" i="5" a="1"/>
  <c r="AW5" i="5" a="1"/>
  <c r="AV10" i="5" a="1"/>
  <c r="AX5" i="5" l="1"/>
  <c r="I7" i="1" s="1"/>
  <c r="AW5" i="5"/>
  <c r="H7" i="1" s="1"/>
  <c r="AX40" i="5"/>
  <c r="I14" i="1" s="1"/>
  <c r="AV40" i="5"/>
  <c r="G14" i="1" s="1"/>
  <c r="AW40" i="5"/>
  <c r="H14" i="1" s="1"/>
  <c r="AV35" i="5"/>
  <c r="G13" i="1" s="1"/>
  <c r="AX35" i="5"/>
  <c r="I13" i="1" s="1"/>
  <c r="AW35" i="5"/>
  <c r="H13" i="1" s="1"/>
  <c r="AV25" i="5"/>
  <c r="G11" i="1" s="1"/>
  <c r="AX25" i="5"/>
  <c r="I11" i="1" s="1"/>
  <c r="AW25" i="5"/>
  <c r="H11" i="1" s="1"/>
  <c r="AV20" i="5"/>
  <c r="G10" i="1" s="1"/>
  <c r="AX20" i="5"/>
  <c r="I10" i="1" s="1"/>
  <c r="AW20" i="5"/>
  <c r="H10" i="1" s="1"/>
  <c r="AX15" i="5"/>
  <c r="I9" i="1" s="1"/>
  <c r="AV15" i="5"/>
  <c r="G9" i="1" s="1"/>
  <c r="AW15" i="5"/>
  <c r="H9" i="1" s="1"/>
  <c r="AX10" i="5"/>
  <c r="I8" i="1" s="1"/>
  <c r="AV10" i="5"/>
  <c r="G8" i="1" s="1"/>
  <c r="AW10" i="5"/>
  <c r="H8" i="1" s="1"/>
  <c r="AV30" i="5"/>
  <c r="G12" i="1" s="1"/>
  <c r="AW30" i="5"/>
  <c r="H12" i="1" s="1"/>
  <c r="AX30" i="5"/>
  <c r="I12" i="1" s="1"/>
  <c r="AU30" i="5"/>
  <c r="G17" i="1" l="1"/>
  <c r="H16" i="1"/>
  <c r="H15" i="1"/>
  <c r="H17" i="1"/>
  <c r="I16" i="1"/>
  <c r="I17" i="1"/>
  <c r="I15" i="1"/>
  <c r="G16" i="1"/>
  <c r="G15" i="1"/>
  <c r="O14" i="1"/>
  <c r="O13" i="1"/>
  <c r="O12" i="1"/>
  <c r="O11" i="1"/>
  <c r="O10" i="1"/>
  <c r="O9" i="1"/>
  <c r="O8" i="1"/>
  <c r="O7" i="1"/>
  <c r="N14" i="1"/>
  <c r="N13" i="1"/>
  <c r="N12" i="1"/>
  <c r="N11" i="1"/>
  <c r="N10" i="1"/>
  <c r="N9" i="1"/>
  <c r="N8" i="1"/>
  <c r="N7" i="1"/>
  <c r="M14" i="1"/>
  <c r="M13" i="1"/>
  <c r="M12" i="1"/>
  <c r="M11" i="1"/>
  <c r="M10" i="1"/>
  <c r="M9" i="1"/>
  <c r="M8" i="1"/>
  <c r="M7" i="1"/>
  <c r="L14" i="1"/>
  <c r="L13" i="1"/>
  <c r="L12" i="1"/>
  <c r="L11" i="1"/>
  <c r="L10" i="1"/>
  <c r="L9" i="1"/>
  <c r="L8" i="1"/>
  <c r="L7" i="1"/>
  <c r="K14" i="1"/>
  <c r="K13" i="1"/>
  <c r="K12" i="1"/>
  <c r="K11" i="1"/>
  <c r="K10" i="1"/>
  <c r="K9" i="1"/>
  <c r="K8" i="1"/>
  <c r="K7" i="1"/>
  <c r="J13" i="1"/>
  <c r="J12" i="1"/>
  <c r="J11" i="1"/>
  <c r="J10" i="1"/>
  <c r="J9" i="1"/>
  <c r="J8" i="1"/>
  <c r="O16" i="1" l="1"/>
  <c r="K16" i="1"/>
  <c r="M16" i="1"/>
  <c r="J16" i="1"/>
  <c r="L16" i="1"/>
  <c r="M15" i="1"/>
  <c r="N16" i="1"/>
  <c r="O15" i="1"/>
  <c r="N15" i="1"/>
  <c r="K15" i="1"/>
  <c r="L15" i="1"/>
  <c r="M17" i="1"/>
  <c r="K17" i="1"/>
  <c r="L17" i="1"/>
  <c r="O17" i="1"/>
  <c r="N17" i="1"/>
  <c r="J15" i="1"/>
  <c r="J17" i="1" s="1"/>
  <c r="AU25" i="5" a="1"/>
  <c r="AS35" i="5" a="1"/>
  <c r="AT40" i="5" a="1"/>
  <c r="AU35" i="5" a="1"/>
  <c r="AT15" i="5" a="1"/>
  <c r="AS40" i="5" a="1"/>
  <c r="AS15" i="5" a="1"/>
  <c r="AT30" i="5" a="1"/>
  <c r="AT20" i="5" a="1"/>
  <c r="AU15" i="5" a="1"/>
  <c r="AT25" i="5" a="1"/>
  <c r="AU40" i="5" a="1"/>
  <c r="AS25" i="5" a="1"/>
  <c r="AU20" i="5" a="1"/>
  <c r="AS20" i="5" a="1"/>
  <c r="AS30" i="5" a="1"/>
  <c r="AT35" i="5" a="1"/>
  <c r="AU10" i="5" a="1"/>
  <c r="AU5" i="5" a="1"/>
  <c r="AT10" i="5" a="1"/>
  <c r="AT5" i="5" a="1"/>
  <c r="AS10" i="5" a="1"/>
  <c r="AT40" i="5" l="1"/>
  <c r="E14" i="1" s="1"/>
  <c r="AS40" i="5"/>
  <c r="D14" i="1" s="1"/>
  <c r="AU40" i="5"/>
  <c r="F14" i="1" s="1"/>
  <c r="AT35" i="5"/>
  <c r="E13" i="1" s="1"/>
  <c r="AU35" i="5"/>
  <c r="F13" i="1" s="1"/>
  <c r="AS35" i="5"/>
  <c r="D13" i="1" s="1"/>
  <c r="AT20" i="5"/>
  <c r="E10" i="1" s="1"/>
  <c r="AU20" i="5"/>
  <c r="F10" i="1" s="1"/>
  <c r="AS20" i="5"/>
  <c r="D10" i="1" s="1"/>
  <c r="AU15" i="5"/>
  <c r="F9" i="1" s="1"/>
  <c r="AT15" i="5"/>
  <c r="E9" i="1" s="1"/>
  <c r="AS15" i="5"/>
  <c r="D9" i="1" s="1"/>
  <c r="AU10" i="5"/>
  <c r="F8" i="1" s="1"/>
  <c r="AT10" i="5"/>
  <c r="E8" i="1" s="1"/>
  <c r="AS10" i="5"/>
  <c r="D8" i="1" s="1"/>
  <c r="AU5" i="5"/>
  <c r="F7" i="1" s="1"/>
  <c r="AT5" i="5"/>
  <c r="E7" i="1" s="1"/>
  <c r="D7" i="1"/>
  <c r="AS30" i="5"/>
  <c r="D12" i="1" s="1"/>
  <c r="AT30" i="5"/>
  <c r="E12" i="1" s="1"/>
  <c r="F12" i="1"/>
  <c r="AT25" i="5"/>
  <c r="E11" i="1" s="1"/>
  <c r="AU25" i="5"/>
  <c r="F11" i="1" s="1"/>
  <c r="AS25" i="5"/>
  <c r="D11" i="1" s="1"/>
  <c r="D16" i="1" l="1"/>
  <c r="F16" i="1"/>
  <c r="E16" i="1"/>
  <c r="D15" i="1"/>
  <c r="D17" i="1" s="1"/>
  <c r="E15" i="1"/>
  <c r="E17" i="1"/>
  <c r="F15" i="1"/>
  <c r="F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<sst xmlns="http://schemas.openxmlformats.org/spreadsheetml/2006/main" count="1604" uniqueCount="1319">
  <si>
    <t>dec.cb-psnr</t>
  </si>
  <si>
    <t>dec.cr-psnr</t>
  </si>
  <si>
    <t>dec.enc.match</t>
  </si>
  <si>
    <t>dec.ext.maxrssk</t>
  </si>
  <si>
    <t>dec.numpoints</t>
  </si>
  <si>
    <t>dec.reflectance-hpsnr</t>
  </si>
  <si>
    <t>dec.reflectance-psnr</t>
  </si>
  <si>
    <t>dec.utime</t>
  </si>
  <si>
    <t>dec.y-hpsnr</t>
  </si>
  <si>
    <t>dec.y-psnr</t>
  </si>
  <si>
    <t>enc.bits.colour</t>
  </si>
  <si>
    <t>enc.bits.geometry</t>
  </si>
  <si>
    <t>enc.bits.reflectance</t>
  </si>
  <si>
    <t>enc.ext.bits</t>
  </si>
  <si>
    <t>enc.ext.maxrssk</t>
  </si>
  <si>
    <t>enc.utime</t>
  </si>
  <si>
    <t>eqn.bitrate</t>
  </si>
  <si>
    <t>eqn.bpop</t>
  </si>
  <si>
    <t>eqn.bpp</t>
  </si>
  <si>
    <t>eqn.bpp.colour</t>
  </si>
  <si>
    <t>eqn.bpp.geometry</t>
  </si>
  <si>
    <t>eqn.bpp.reflectance</t>
  </si>
  <si>
    <t>Sequence</t>
  </si>
  <si>
    <t>sequence</t>
  </si>
  <si>
    <t>Variant</t>
  </si>
  <si>
    <t>variant</t>
  </si>
  <si>
    <t>Total</t>
  </si>
  <si>
    <t>Geometry</t>
  </si>
  <si>
    <t>A.dec.numpoints</t>
  </si>
  <si>
    <t>A.enc.ext.bits</t>
  </si>
  <si>
    <t>A.enc.bits.geometry</t>
  </si>
  <si>
    <t>A.enc.bits.reflectance</t>
  </si>
  <si>
    <t>A.dec.y-psnr</t>
  </si>
  <si>
    <t>A.dec.cb-psnr</t>
  </si>
  <si>
    <t>A.dec.cr-psnr</t>
  </si>
  <si>
    <t>A.enc.utime</t>
  </si>
  <si>
    <t>A.dec.utime</t>
  </si>
  <si>
    <t>B.dec.numpoints</t>
  </si>
  <si>
    <t>B.dec.y-psnr</t>
  </si>
  <si>
    <t>B.dec.cb-psnr</t>
  </si>
  <si>
    <t>B.dec.cr-psnr</t>
  </si>
  <si>
    <t>B.enc.utime</t>
  </si>
  <si>
    <t>B.dec.utime</t>
  </si>
  <si>
    <t>eqn.ab.bdrate-y</t>
  </si>
  <si>
    <t>eqn.ab.bdrate-cb</t>
  </si>
  <si>
    <t>eqn.ab.bdrate-cr</t>
  </si>
  <si>
    <t>r01</t>
  </si>
  <si>
    <t>r02</t>
  </si>
  <si>
    <t>r03</t>
  </si>
  <si>
    <t>r04</t>
  </si>
  <si>
    <t>r05</t>
  </si>
  <si>
    <t>col.AVSC2 losslG,lossyA,intra.variant</t>
  </si>
  <si>
    <t>col.AVSC2 losslG,lossyA,intra.src.numpoints</t>
  </si>
  <si>
    <t>col.AVSC2 losslG,lossyA,intra.src.geometry-precision</t>
  </si>
  <si>
    <t>col.AVSC2 losslG,lossyA,intra.src.framecount</t>
  </si>
  <si>
    <t>col.AVSC2 losslG,lossyA,intra.src.framerate</t>
  </si>
  <si>
    <t>col.AVSC2 losslG,lossyA,intra.A.eqn.bitrate</t>
  </si>
  <si>
    <t>col.AVSC2 losslG,lossyA,intra.A.eqn.bpp</t>
  </si>
  <si>
    <t>col.AVSC2 losslG,lossyA,intra.A.eqn.bpp.geometry</t>
  </si>
  <si>
    <t>col.AVSC2 losslG,lossyA,intra.A.eqn.bpp.colour</t>
  </si>
  <si>
    <t>col.AVSC2 losslG,lossyA,intra.A.eqn.bpop</t>
  </si>
  <si>
    <t>col.AVSC2 losslG,lossyA,intra.A.dec.numpoints</t>
  </si>
  <si>
    <t>col.AVSC2 losslG,lossyA,intra.A.enc.ext.bits</t>
  </si>
  <si>
    <t>col.AVSC2 losslG,lossyA,intra.A.enc.bits.geometry</t>
  </si>
  <si>
    <t>col.AVSC2 losslG,lossyA,intra.A.enc.bits.colour</t>
  </si>
  <si>
    <t>col.AVSC2 losslG,lossyA,intra.A.enc.bits.reflectance</t>
  </si>
  <si>
    <t>col.AVSC2 losslG,lossyA,intra.A.dec.y-psnr</t>
  </si>
  <si>
    <t>col.AVSC2 losslG,lossyA,intra.A.dec.cb-psnr</t>
  </si>
  <si>
    <t>col.AVSC2 losslG,lossyA,intra.A.dec.cr-psnr</t>
  </si>
  <si>
    <t>col.AVSC2 losslG,lossyA,intra.A.dec.reflectance-psnr</t>
  </si>
  <si>
    <t>col.AVSC2 losslG,lossyA,intra.A.enc.utime</t>
  </si>
  <si>
    <t>col.AVSC2 losslG,lossyA,intra.A.dec.utime</t>
  </si>
  <si>
    <t>col.AVSC2 losslG,lossyA,intra.A.enc.ext.maxrssk</t>
  </si>
  <si>
    <t>col.AVSC2 losslG,lossyA,intra.A.dec.ext.maxrssk</t>
  </si>
  <si>
    <t>col.AVSC2 losslG,lossyA,intra.A.dec.enc.match</t>
  </si>
  <si>
    <t>col.AVSC2 losslG,lossyA,intra.B.eqn.bitrate</t>
  </si>
  <si>
    <t>col.AVSC2 losslG,lossyA,intra.B.eqn.bpp</t>
  </si>
  <si>
    <t>col.AVSC2 losslG,lossyA,intra.B.eqn.bpp.geometry</t>
  </si>
  <si>
    <t>col.AVSC2 losslG,lossyA,intra.B.eqn.bpp.colour</t>
  </si>
  <si>
    <t>col.AVSC2 losslG,lossyA,intra.B.eqn.bpp.reflectance</t>
  </si>
  <si>
    <t>col.AVSC2 losslG,lossyA,intra.B.eqn.bpop</t>
  </si>
  <si>
    <t>col.AVSC2 losslG,lossyA,intra.B.dec.numpoints</t>
  </si>
  <si>
    <t>col.AVSC2 losslG,lossyA,intra.B.enc.ext.bits</t>
  </si>
  <si>
    <t>col.AVSC2 losslG,lossyA,intra.B.enc.bits.geometry</t>
  </si>
  <si>
    <t>col.AVSC2 losslG,lossyA,intra.B.enc.bits.colour</t>
  </si>
  <si>
    <t>col.AVSC2 losslG,lossyA,intra.B.enc.bits.reflectance</t>
  </si>
  <si>
    <t>col.AVSC2 losslG,lossyA,intra.B.dec.y-psnr</t>
  </si>
  <si>
    <t>col.AVSC2 losslG,lossyA,intra.B.dec.cb-psnr</t>
  </si>
  <si>
    <t>col.AVSC2 losslG,lossyA,intra.B.dec.cr-psnr</t>
  </si>
  <si>
    <t>col.AVSC2 losslG,lossyA,intra.B.dec.reflectance-psnr</t>
  </si>
  <si>
    <t>col.AVSC2 losslG,lossyA,intra.B.enc.utime</t>
  </si>
  <si>
    <t>col.AVSC2 losslG,lossyA,intra.B.dec.utime</t>
  </si>
  <si>
    <t>col.AVSC2 losslG,lossyA,intra.B.enc.ext.maxrssk</t>
  </si>
  <si>
    <t>col.AVSC2 losslG,lossyA,intra.B.dec.ext.maxrssk</t>
  </si>
  <si>
    <t>col.AVSC2 losslG,lossyA,intra.B.dec.enc.match</t>
  </si>
  <si>
    <t>name.A.AVSC2 losslG,lossyA,intra</t>
  </si>
  <si>
    <t>name.B.AVSC2 losslG,lossyA,intra</t>
  </si>
  <si>
    <t>cols.AVSC2 losslG,lossyA,intra</t>
  </si>
  <si>
    <t>col.AVSC2 losslG,lossyA,intra.class</t>
  </si>
  <si>
    <t>col.AVSC2 losslG,lossyA,intra.sequence</t>
  </si>
  <si>
    <t>col.AVSC4 losslG,losslA,intra.class</t>
  </si>
  <si>
    <t>col.AVSC4 losslG,losslA,intra.sequence</t>
  </si>
  <si>
    <t>col.AVSC4 losslG,losslA,intra.src.numpoints</t>
  </si>
  <si>
    <t>col.AVSC4 losslG,losslA,intra.src.geometry-precision</t>
  </si>
  <si>
    <t>col.AVSC4 losslG,losslA,intra.src.framecount</t>
  </si>
  <si>
    <t>col.AVSC4 losslG,losslA,intra.src.framerate</t>
  </si>
  <si>
    <t>col.AVSC4 losslG,losslA,intra.A.eqn.bitrate</t>
  </si>
  <si>
    <t>col.AVSC4 losslG,losslA,intra.A.eqn.bpp</t>
  </si>
  <si>
    <t>col.AVSC4 losslG,losslA,intra.A.eqn.bpp.geometry</t>
  </si>
  <si>
    <t>col.AVSC4 losslG,losslA,intra.A.eqn.bpp.colour</t>
  </si>
  <si>
    <t>col.AVSC4 losslG,losslA,intra.A.eqn.bpp.reflectance</t>
  </si>
  <si>
    <t>col.AVSC4 losslG,losslA,intra.A.eqn.bpop</t>
  </si>
  <si>
    <t>col.AVSC4 losslG,losslA,intra.A.dec.numpoints</t>
  </si>
  <si>
    <t>col.AVSC4 losslG,losslA,intra.A.enc.ext.bits</t>
  </si>
  <si>
    <t>col.AVSC4 losslG,losslA,intra.A.enc.bits.geometry</t>
  </si>
  <si>
    <t>col.AVSC4 losslG,losslA,intra.A.enc.bits.colour</t>
  </si>
  <si>
    <t>col.AVSC4 losslG,losslA,intra.A.enc.bits.reflectance</t>
  </si>
  <si>
    <t>col.AVSC4 losslG,losslA,intra.A.enc.utime</t>
  </si>
  <si>
    <t>col.AVSC4 losslG,losslA,intra.A.dec.utime</t>
  </si>
  <si>
    <t>col.AVSC4 losslG,losslA,intra.A.enc.ext.maxrssk</t>
  </si>
  <si>
    <t>col.AVSC4 losslG,losslA,intra.A.dec.ext.maxrssk</t>
  </si>
  <si>
    <t>col.AVSC4 losslG,losslA,intra.A.dec.enc.match</t>
  </si>
  <si>
    <t>col.AVSC4 losslG,losslA,intra.B.eqn.bitrate</t>
  </si>
  <si>
    <t>col.AVSC4 losslG,losslA,intra.B.eqn.bpp</t>
  </si>
  <si>
    <t>col.AVSC4 losslG,losslA,intra.B.eqn.bpp.geometry</t>
  </si>
  <si>
    <t>col.AVSC4 losslG,losslA,intra.B.eqn.bpp.colour</t>
  </si>
  <si>
    <t>col.AVSC4 losslG,losslA,intra.B.eqn.bpp.reflectance</t>
  </si>
  <si>
    <t>col.AVSC4 losslG,losslA,intra.B.eqn.bpop</t>
  </si>
  <si>
    <t>col.AVSC4 losslG,losslA,intra.B.dec.numpoints</t>
  </si>
  <si>
    <t>col.AVSC4 losslG,losslA,intra.B.enc.ext.bits</t>
  </si>
  <si>
    <t>col.AVSC4 losslG,losslA,intra.B.enc.bits.geometry</t>
  </si>
  <si>
    <t>col.AVSC4 losslG,losslA,intra.B.enc.bits.colour</t>
  </si>
  <si>
    <t>col.AVSC4 losslG,losslA,intra.B.enc.bits.reflectance</t>
  </si>
  <si>
    <t>col.AVSC4 losslG,losslA,intra.B.enc.utime</t>
  </si>
  <si>
    <t>col.AVSC4 losslG,losslA,intra.B.dec.utime</t>
  </si>
  <si>
    <t>col.AVSC4 losslG,losslA,intra.B.enc.ext.maxrssk</t>
  </si>
  <si>
    <t>col.AVSC4 losslG,losslA,intra.B.dec.ext.maxrssk</t>
  </si>
  <si>
    <t>col.AVSC4 losslG,losslA,intra.B.dec.enc.match</t>
  </si>
  <si>
    <t>col.AVSC4 losslG,losslA,intra.eqn.ab.ratio-bpp</t>
  </si>
  <si>
    <t>col.AVSC4 losslG,losslA,intra.eqn.ab.ratio-bpp-geometry</t>
  </si>
  <si>
    <t>col.AVSC4 losslG,losslA,intra.eqn.ab.ratio-bpp-colour</t>
  </si>
  <si>
    <t>col.AVSC4 losslG,losslA,intra.eqn.ab.ratio-bpp-reflectance</t>
  </si>
  <si>
    <t>col.AVSC4 losslG,losslA,intra.eqn.ab.ratio-enc-maxrssk</t>
  </si>
  <si>
    <t>col.AVSC4 losslG,losslA,intra.eqn.ab.ratio-dec-maxrssk</t>
  </si>
  <si>
    <t>name.A.AVSC4 losslG,losslA,intra</t>
  </si>
  <si>
    <t>name.B.AVSC4 losslG,losslA,intra</t>
  </si>
  <si>
    <t>cols.AVSC4 losslG,losslA,intra</t>
  </si>
  <si>
    <t>col.AVSC1 limit-lossyG,lossyA,intra.class</t>
  </si>
  <si>
    <t>col.AVSC1 limit-lossyG,lossyA,intra.sequence</t>
  </si>
  <si>
    <t>col.AVSC1 limit-lossyG,lossyA,intra.variant</t>
  </si>
  <si>
    <t>col.AVSC1 limit-lossyG,lossyA,intra.src.framecount</t>
  </si>
  <si>
    <t>col.AVSC1 limit-lossyG,lossyA,intra.src.framerate</t>
  </si>
  <si>
    <t>col.AVSC1 limit-lossyG,lossyA,intra.A.eqn.bitrate</t>
  </si>
  <si>
    <t>col.AVSC1 limit-lossyG,lossyA,intra.A.eqn.bpp</t>
  </si>
  <si>
    <t>col.AVSC1 limit-lossyG,lossyA,intra.A.eqn.bpp.geometry</t>
  </si>
  <si>
    <t>col.AVSC1 limit-lossyG,lossyA,intra.A.eqn.bpp.colour</t>
  </si>
  <si>
    <t>col.AVSC1 limit-lossyG,lossyA,intra.A.eqn.bpop</t>
  </si>
  <si>
    <t>col.AVSC1 limit-lossyG,lossyA,intra.A.dec.numpoints</t>
  </si>
  <si>
    <t>col.AVSC1 limit-lossyG,lossyA,intra.A.enc.ext.bits</t>
  </si>
  <si>
    <t>col.AVSC1 limit-lossyG,lossyA,intra.A.enc.bits.geometry</t>
  </si>
  <si>
    <t>col.AVSC1 limit-lossyG,lossyA,intra.A.enc.bits.colour</t>
  </si>
  <si>
    <t>col.AVSC1 limit-lossyG,lossyA,intra.A.enc.bits.reflectance</t>
  </si>
  <si>
    <t>col.AVSC1 limit-lossyG,lossyA,intra.A.dec.y-psnr</t>
  </si>
  <si>
    <t>col.AVSC1 limit-lossyG,lossyA,intra.A.dec.cb-psnr</t>
  </si>
  <si>
    <t>col.AVSC1 limit-lossyG,lossyA,intra.A.dec.cr-psnr</t>
  </si>
  <si>
    <t>col.AVSC1 limit-lossyG,lossyA,intra.A.dec.reflectance-psnr</t>
  </si>
  <si>
    <t>col.AVSC1 limit-lossyG,lossyA,intra.A.enc.utime</t>
  </si>
  <si>
    <t>col.AVSC1 limit-lossyG,lossyA,intra.A.dec.utime</t>
  </si>
  <si>
    <t>col.AVSC1 limit-lossyG,lossyA,intra.A.enc.ext.maxrssk</t>
  </si>
  <si>
    <t>col.AVSC1 limit-lossyG,lossyA,intra.B.eqn.bitrate</t>
  </si>
  <si>
    <t>col.AVSC1 limit-lossyG,lossyA,intra.B.eqn.bpp</t>
  </si>
  <si>
    <t>col.AVSC1 limit-lossyG,lossyA,intra.B.eqn.bpp.geometry</t>
  </si>
  <si>
    <t>col.AVSC1 limit-lossyG,lossyA,intra.B.eqn.bpp.colour</t>
  </si>
  <si>
    <t>col.AVSC1 limit-lossyG,lossyA,intra.B.eqn.bpp.reflectance</t>
  </si>
  <si>
    <t>col.AVSC1 limit-lossyG,lossyA,intra.B.eqn.bpop</t>
  </si>
  <si>
    <t>col.AVSC1 limit-lossyG,lossyA,intra.B.dec.numpoints</t>
  </si>
  <si>
    <t>col.AVSC1 limit-lossyG,lossyA,intra.B.enc.ext.bits</t>
  </si>
  <si>
    <t>col.AVSC1 limit-lossyG,lossyA,intra.B.enc.bits.geometry</t>
  </si>
  <si>
    <t>col.AVSC1 limit-lossyG,lossyA,intra.B.enc.bits.colour</t>
  </si>
  <si>
    <t>col.AVSC1 limit-lossyG,lossyA,intra.B.enc.bits.reflectance</t>
  </si>
  <si>
    <t>col.AVSC1 limit-lossyG,lossyA,intra.B.dec.y-psnr</t>
  </si>
  <si>
    <t>col.AVSC1 limit-lossyG,lossyA,intra.B.dec.cb-psnr</t>
  </si>
  <si>
    <t>col.AVSC1 limit-lossyG,lossyA,intra.B.dec.cr-psnr</t>
  </si>
  <si>
    <t>col.AVSC1 limit-lossyG,lossyA,intra.B.dec.reflectance-psnr</t>
  </si>
  <si>
    <t>col.AVSC1 limit-lossyG,lossyA,intra.B.enc.utime</t>
  </si>
  <si>
    <t>col.AVSC1 limit-lossyG,lossyA,intra.B.dec.utime</t>
  </si>
  <si>
    <t>col.AVSC1 limit-lossyG,lossyA,intra.B.enc.ext.maxrssk</t>
  </si>
  <si>
    <t>col.AVSC1 limit-lossyG,lossyA,intra.B.dec.ext.maxrssk</t>
  </si>
  <si>
    <t>name.A.AVSC1 limit-lossyG,lossyA,intra</t>
  </si>
  <si>
    <t>name.B.AVSC1 limit-lossyG,lossyA,intra</t>
  </si>
  <si>
    <t>cols.AVSC1 limit-lossyG,lossyA,intra</t>
  </si>
  <si>
    <t>col.AVSC3 losslG,limit-lossyA,intra.class</t>
  </si>
  <si>
    <t>col.AVSC3 losslG,limit-lossyA,intra.sequence</t>
  </si>
  <si>
    <t>col.AVSC3 losslG,limit-lossyA,intra.variant</t>
  </si>
  <si>
    <t>col.AVSC3 losslG,limit-lossyA,intra.src.numpoints</t>
  </si>
  <si>
    <t>col.AVSC3 losslG,limit-lossyA,intra.src.geometry-precision</t>
  </si>
  <si>
    <t>col.AVSC3 losslG,limit-lossyA,intra.src.framecount</t>
  </si>
  <si>
    <t>col.AVSC3 losslG,limit-lossyA,intra.src.framerate</t>
  </si>
  <si>
    <t>col.AVSC3 losslG,limit-lossyA,intra.A.eqn.bitrate</t>
  </si>
  <si>
    <t>col.AVSC3 losslG,limit-lossyA,intra.A.eqn.bpp</t>
  </si>
  <si>
    <t>col.AVSC3 losslG,limit-lossyA,intra.A.eqn.bpp.geometry</t>
  </si>
  <si>
    <t>col.AVSC3 losslG,limit-lossyA,intra.A.eqn.bpp.colour</t>
  </si>
  <si>
    <t>col.AVSC3 losslG,limit-lossyA,intra.A.eqn.bpp.reflectance</t>
  </si>
  <si>
    <t>col.AVSC3 losslG,limit-lossyA,intra.A.eqn.bpop</t>
  </si>
  <si>
    <t>col.AVSC3 losslG,limit-lossyA,intra.A.dec.numpoints</t>
  </si>
  <si>
    <t>col.AVSC3 losslG,limit-lossyA,intra.A.enc.ext.bits</t>
  </si>
  <si>
    <t>col.AVSC3 losslG,limit-lossyA,intra.A.enc.bits.geometry</t>
  </si>
  <si>
    <t>col.AVSC3 losslG,limit-lossyA,intra.A.enc.bits.colour</t>
  </si>
  <si>
    <t>col.AVSC3 losslG,limit-lossyA,intra.A.enc.bits.reflectance</t>
  </si>
  <si>
    <t>col.AVSC3 losslG,limit-lossyA,intra.A.dec.y-psnr</t>
  </si>
  <si>
    <t>col.AVSC3 losslG,limit-lossyA,intra.A.dec.cb-psnr</t>
  </si>
  <si>
    <t>col.AVSC3 losslG,limit-lossyA,intra.A.dec.cr-psnr</t>
  </si>
  <si>
    <t>col.AVSC3 losslG,limit-lossyA,intra.A.dec.reflectance-psnr</t>
  </si>
  <si>
    <t>col.AVSC3 losslG,limit-lossyA,intra.A.dec.y-hpsnr</t>
  </si>
  <si>
    <t>col.AVSC3 losslG,limit-lossyA,intra.A.dec.cb-hpsnr</t>
  </si>
  <si>
    <t>col.AVSC3 losslG,limit-lossyA,intra.A.dec.cr-hpsnr</t>
  </si>
  <si>
    <t>col.AVSC3 losslG,limit-lossyA,intra.A.dec.reflectance-hpsnr</t>
  </si>
  <si>
    <t>col.AVSC3 losslG,limit-lossyA,intra.A.enc.utime</t>
  </si>
  <si>
    <t>col.AVSC3 losslG,limit-lossyA,intra.A.dec.utime</t>
  </si>
  <si>
    <t>col.AVSC3 losslG,limit-lossyA,intra.A.enc.ext.maxrssk</t>
  </si>
  <si>
    <t>col.AVSC3 losslG,limit-lossyA,intra.A.dec.ext.maxrssk</t>
  </si>
  <si>
    <t>col.AVSC3 losslG,limit-lossyA,intra.A.dec.enc.match</t>
  </si>
  <si>
    <t>col.AVSC3 losslG,limit-lossyA,intra.B.eqn.bitrate</t>
  </si>
  <si>
    <t>col.AVSC3 losslG,limit-lossyA,intra.B.eqn.bpp</t>
  </si>
  <si>
    <t>col.AVSC3 losslG,limit-lossyA,intra.B.eqn.bpp.geometry</t>
  </si>
  <si>
    <t>col.AVSC3 losslG,limit-lossyA,intra.B.eqn.bpp.colour</t>
  </si>
  <si>
    <t>col.AVSC3 losslG,limit-lossyA,intra.B.eqn.bpp.reflectance</t>
  </si>
  <si>
    <t>col.AVSC3 losslG,limit-lossyA,intra.B.eqn.bpop</t>
  </si>
  <si>
    <t>col.AVSC3 losslG,limit-lossyA,intra.B.dec.numpoints</t>
  </si>
  <si>
    <t>col.AVSC3 losslG,limit-lossyA,intra.B.enc.ext.bits</t>
  </si>
  <si>
    <t>col.AVSC3 losslG,limit-lossyA,intra.B.enc.bits.geometry</t>
  </si>
  <si>
    <t>col.AVSC3 losslG,limit-lossyA,intra.B.enc.bits.colour</t>
  </si>
  <si>
    <t>col.AVSC3 losslG,limit-lossyA,intra.B.enc.bits.reflectance</t>
  </si>
  <si>
    <t>col.AVSC3 losslG,limit-lossyA,intra.B.dec.y-psnr</t>
  </si>
  <si>
    <t>col.AVSC3 losslG,limit-lossyA,intra.B.dec.cb-psnr</t>
  </si>
  <si>
    <t>col.AVSC3 losslG,limit-lossyA,intra.B.dec.cr-psnr</t>
  </si>
  <si>
    <t>col.AVSC3 losslG,limit-lossyA,intra.B.dec.reflectance-psnr</t>
  </si>
  <si>
    <t>col.AVSC3 losslG,limit-lossyA,intra.B.dec.y-hpsnr</t>
  </si>
  <si>
    <t>col.AVSC3 losslG,limit-lossyA,intra.B.dec.cb-hpsnr</t>
  </si>
  <si>
    <t>col.AVSC3 losslG,limit-lossyA,intra.B.dec.cr-hpsnr</t>
  </si>
  <si>
    <t>col.AVSC3 losslG,limit-lossyA,intra.B.dec.reflectance-hpsnr</t>
  </si>
  <si>
    <t>col.AVSC3 losslG,limit-lossyA,intra.B.enc.utime</t>
  </si>
  <si>
    <t>col.AVSC3 losslG,limit-lossyA,intra.B.dec.utime</t>
  </si>
  <si>
    <t>col.AVSC3 losslG,limit-lossyA,intra.B.enc.ext.maxrssk</t>
  </si>
  <si>
    <t>col.AVSC3 losslG,limit-lossyA,intra.B.dec.ext.maxrssk</t>
  </si>
  <si>
    <t>col.AVSC3 losslG,limit-lossyA,intra.B.dec.enc.match</t>
  </si>
  <si>
    <t>col.AVSC3 losslG,limit-lossyA,intra.eqn.ab.ratio-enc-maxrssk</t>
  </si>
  <si>
    <t>col.AVSC3 losslG,limit-lossyA,intra.eqn.ab.ratio-dec-maxrssk</t>
  </si>
  <si>
    <t>col.AVSC3 losslG,limit-lossyA,intra.eqn.ab.bdrate-y-attrrate</t>
  </si>
  <si>
    <t>col.AVSC3 losslG,limit-lossyA,intra.eqn.ab.bdrate-cb-attrrate</t>
  </si>
  <si>
    <t>col.AVSC3 losslG,limit-lossyA,intra.eqn.ab.bdrate-cr-attrrate</t>
  </si>
  <si>
    <t>col.AVSC3 losslG,limit-lossyA,intra.eqn.ab.bdrate-reflectance-attrrate</t>
  </si>
  <si>
    <t>col.AVSC3 losslG,limit-lossyA,intra.eqn.ab.bdrate-hy-attrrate</t>
  </si>
  <si>
    <t>col.AVSC3 losslG,limit-lossyA,intra.eqn.ab.bdrate-hcb-attrrate</t>
  </si>
  <si>
    <t>col.AVSC3 losslG,limit-lossyA,intra.eqn.ab.bdrate-hcr-attrrate</t>
  </si>
  <si>
    <t>col.AVSC3 losslG,limit-lossyA,intra.eqn.ab.bdrate-hreflectance-attrrate</t>
  </si>
  <si>
    <t>col.AVSC3 losslG,limit-lossyA,intra.eqn.ab.bdrate-y</t>
  </si>
  <si>
    <t>col.AVSC3 losslG,limit-lossyA,intra.eqn.ab.bdrate-cb</t>
  </si>
  <si>
    <t>col.AVSC3 losslG,limit-lossyA,intra.eqn.ab.bdrate-cr</t>
  </si>
  <si>
    <t>col.AVSC3 losslG,limit-lossyA,intra.eqn.ab.bdrate-reflectance</t>
  </si>
  <si>
    <t>col.AVSC3 losslG,limit-lossyA,intra.eqn.ab.bdrate-hy</t>
  </si>
  <si>
    <t>col.AVSC3 losslG,limit-lossyA,intra.eqn.ab.bdrate-hcb</t>
  </si>
  <si>
    <t>col.AVSC3 losslG,limit-lossyA,intra.eqn.ab.bdrate-hcr</t>
  </si>
  <si>
    <t>col.AVSC3 losslG,limit-lossyA,intra.eqn.ab.bdrate-hreflectance</t>
  </si>
  <si>
    <t>name.A.AVSC3 losslG,limit-lossyA,intra</t>
  </si>
  <si>
    <t>name.B.AVSC3 losslG,limit-lossyA,intra</t>
  </si>
  <si>
    <t>cols.AVSC3 losslG,limit-lossyA,intra</t>
  </si>
  <si>
    <t>dec.cr-hpsnr</t>
    <phoneticPr fontId="2" type="noConversion"/>
  </si>
  <si>
    <t>dec.cb-hpsnr</t>
    <phoneticPr fontId="2" type="noConversion"/>
  </si>
  <si>
    <t>dec.d1-hpsnr</t>
    <phoneticPr fontId="2" type="noConversion"/>
  </si>
  <si>
    <t>range.AVSC4 losslG,losslA,intra.ford_03</t>
    <phoneticPr fontId="2" type="noConversion"/>
  </si>
  <si>
    <t>range.AVSC4 losslG,losslA,intra.ford_02</t>
    <phoneticPr fontId="2" type="noConversion"/>
  </si>
  <si>
    <t>range.AVSC4 losslG,losslA,intra.ford_01</t>
    <phoneticPr fontId="2" type="noConversion"/>
  </si>
  <si>
    <t>range.AVSC3 losslG,limit-lossyA,intra.ford_03</t>
    <phoneticPr fontId="2" type="noConversion"/>
  </si>
  <si>
    <t>range.AVSC3 losslG,limit-lossyA,intra.ford_02</t>
    <phoneticPr fontId="2" type="noConversion"/>
  </si>
  <si>
    <t>range.AVSC3 losslG,limit-lossyA,intra.ford_01</t>
    <phoneticPr fontId="2" type="noConversion"/>
  </si>
  <si>
    <t>range.AVSC2 losslG,lossyA,intra.ford_02</t>
    <phoneticPr fontId="2" type="noConversion"/>
  </si>
  <si>
    <t>range.AVSC2 losslG,lossyA,intra.ford_01</t>
    <phoneticPr fontId="2" type="noConversion"/>
  </si>
  <si>
    <t>col.AVSC4 losslG,losslA,intra.eqn.ab.delta-geom_total_bits_ratio</t>
    <phoneticPr fontId="2" type="noConversion"/>
  </si>
  <si>
    <t>col.AVSC4 losslG,losslA,intra.eqn.ab.mean-delta-geom_total_bits_ratio</t>
    <phoneticPr fontId="2" type="noConversion"/>
  </si>
  <si>
    <t>col.AVSC3 losslG,limit-lossyA,intra.eqn.ab.delta-geom_total_bits_ratio</t>
    <phoneticPr fontId="2" type="noConversion"/>
  </si>
  <si>
    <t>col.AVSC3 losslG,limit-lossyA,intra.eqn.ab.mean-delta-geom_total_bits_ratio</t>
    <phoneticPr fontId="2" type="noConversion"/>
  </si>
  <si>
    <t>cols.AVSC2 losslG,lossyA,ra</t>
  </si>
  <si>
    <t>cols.AVSC3 losslG,limit-lossyA,ra</t>
  </si>
  <si>
    <t>cols.AVSC4 losslG,losslA,ra</t>
  </si>
  <si>
    <t>col.AVSC1 limit-lossyG,lossyA,ra.class</t>
  </si>
  <si>
    <t>col.AVSC1 limit-lossyG,lossyA,ra.sequence</t>
  </si>
  <si>
    <t>col.AVSC1 limit-lossyG,lossyA,ra.variant</t>
  </si>
  <si>
    <t>col.AVSC1 limit-lossyG,lossyA,ra.src.numpoints</t>
  </si>
  <si>
    <t>col.AVSC1 limit-lossyG,lossyA,ra.src.geometry-precision</t>
  </si>
  <si>
    <t>col.AVSC1 limit-lossyG,lossyA,ra.src.framecount</t>
  </si>
  <si>
    <t>col.AVSC1 limit-lossyG,lossyA,ra.src.framerate</t>
  </si>
  <si>
    <t>col.AVSC1 limit-lossyG,lossyA,ra.A.eqn.bitrate</t>
  </si>
  <si>
    <t>col.AVSC1 limit-lossyG,lossyA,ra.A.eqn.bpp</t>
  </si>
  <si>
    <t>col.AVSC1 limit-lossyG,lossyA,ra.A.eqn.bpp.geometry</t>
  </si>
  <si>
    <t>col.AVSC1 limit-lossyG,lossyA,ra.A.eqn.bpp.colour</t>
  </si>
  <si>
    <t>col.AVSC1 limit-lossyG,lossyA,ra.A.eqn.bpp.reflectance</t>
  </si>
  <si>
    <t>col.AVSC1 limit-lossyG,lossyA,ra.A.eqn.bpop</t>
  </si>
  <si>
    <t>col.AVSC1 limit-lossyG,lossyA,ra.A.dec.numpoints</t>
  </si>
  <si>
    <t>col.AVSC1 limit-lossyG,lossyA,ra.A.enc.ext.bits</t>
  </si>
  <si>
    <t>col.AVSC1 limit-lossyG,lossyA,ra.A.enc.bits.geometry</t>
  </si>
  <si>
    <t>col.AVSC1 limit-lossyG,lossyA,ra.A.enc.bits.colour</t>
  </si>
  <si>
    <t>col.AVSC1 limit-lossyG,lossyA,ra.A.enc.bits.reflectance</t>
  </si>
  <si>
    <t>col.AVSC1 limit-lossyG,lossyA,ra.A.dec.y-psnr</t>
  </si>
  <si>
    <t>col.AVSC1 limit-lossyG,lossyA,ra.A.dec.cb-psnr</t>
  </si>
  <si>
    <t>col.AVSC1 limit-lossyG,lossyA,ra.A.dec.cr-psnr</t>
  </si>
  <si>
    <t>col.AVSC1 limit-lossyG,lossyA,ra.A.dec.reflectance-psnr</t>
  </si>
  <si>
    <t>col.AVSC1 limit-lossyG,lossyA,ra.A.enc.utime</t>
  </si>
  <si>
    <t>col.AVSC1 limit-lossyG,lossyA,ra.A.dec.utime</t>
  </si>
  <si>
    <t>col.AVSC1 limit-lossyG,lossyA,ra.A.enc.ext.maxrssk</t>
  </si>
  <si>
    <t>col.AVSC1 limit-lossyG,lossyA,ra.A.dec.ext.maxrssk</t>
  </si>
  <si>
    <t>col.AVSC1 limit-lossyG,lossyA,ra.B.eqn.bitrate</t>
  </si>
  <si>
    <t>col.AVSC1 limit-lossyG,lossyA,ra.B.eqn.bpp</t>
  </si>
  <si>
    <t>col.AVSC1 limit-lossyG,lossyA,ra.B.eqn.bpp.geometry</t>
  </si>
  <si>
    <t>col.AVSC1 limit-lossyG,lossyA,ra.B.eqn.bpp.colour</t>
  </si>
  <si>
    <t>col.AVSC1 limit-lossyG,lossyA,ra.B.eqn.bpp.reflectance</t>
  </si>
  <si>
    <t>col.AVSC1 limit-lossyG,lossyA,ra.B.eqn.bpop</t>
  </si>
  <si>
    <t>col.AVSC1 limit-lossyG,lossyA,ra.B.dec.numpoints</t>
  </si>
  <si>
    <t>col.AVSC1 limit-lossyG,lossyA,ra.B.enc.ext.bits</t>
  </si>
  <si>
    <t>col.AVSC1 limit-lossyG,lossyA,ra.B.enc.bits.geometry</t>
  </si>
  <si>
    <t>col.AVSC1 limit-lossyG,lossyA,ra.B.enc.bits.colour</t>
  </si>
  <si>
    <t>col.AVSC1 limit-lossyG,lossyA,ra.B.enc.bits.reflectance</t>
  </si>
  <si>
    <t>col.AVSC1 limit-lossyG,lossyA,ra.B.dec.y-psnr</t>
  </si>
  <si>
    <t>col.AVSC1 limit-lossyG,lossyA,ra.B.dec.cb-psnr</t>
  </si>
  <si>
    <t>col.AVSC1 limit-lossyG,lossyA,ra.B.dec.cr-psnr</t>
  </si>
  <si>
    <t>col.AVSC1 limit-lossyG,lossyA,ra.B.dec.reflectance-psnr</t>
  </si>
  <si>
    <t>col.AVSC1 limit-lossyG,lossyA,ra.B.enc.utime</t>
  </si>
  <si>
    <t>col.AVSC1 limit-lossyG,lossyA,ra.B.dec.utime</t>
  </si>
  <si>
    <t>col.AVSC1 limit-lossyG,lossyA,ra.B.enc.ext.maxrssk</t>
  </si>
  <si>
    <t>col.AVSC1 limit-lossyG,lossyA,ra.B.dec.ext.maxrssk</t>
  </si>
  <si>
    <t>col.AVSC1 limit-lossyG,lossyA,ra.eqn.ab.ratio-enc-maxrssk</t>
  </si>
  <si>
    <t>col.AVSC1 limit-lossyG,lossyA,ra.eqn.ab.ratio-dec-maxrssk</t>
  </si>
  <si>
    <t>col.AVSC1 limit-lossyG,lossyA,ra.eqn.ab.delta-geom_total_bits_ratio</t>
  </si>
  <si>
    <t>col.AVSC1 limit-lossyG,lossyA,ra.eqn.ab.mean-delta-geom_totle_bits_ratio</t>
  </si>
  <si>
    <t>col.AVSC1 limit-lossyG,lossyA,ra.eqn.ab.bdrate-d1-geomrate</t>
  </si>
  <si>
    <t>col.AVSC1 limit-lossyG,lossyA,ra.eqn.ab.bdrate-y-attrrate</t>
  </si>
  <si>
    <t>col.AVSC1 limit-lossyG,lossyA,ra.eqn.ab.bdrate-cb-attrrate</t>
  </si>
  <si>
    <t>col.AVSC1 limit-lossyG,lossyA,ra.eqn.ab.bdrate-cr-attrrate</t>
  </si>
  <si>
    <t>col.AVSC1 limit-lossyG,lossyA,ra.eqn.ab.bdrate-reflectance-attrrate</t>
  </si>
  <si>
    <t>col.AVSC1 limit-lossyG,lossyA,ra.eqn.ab.bdrate-d1</t>
  </si>
  <si>
    <t>col.AVSC1 limit-lossyG,lossyA,ra.eqn.ab.bdrate-y</t>
  </si>
  <si>
    <t>col.AVSC1 limit-lossyG,lossyA,ra.eqn.ab.bdrate-cb</t>
  </si>
  <si>
    <t>col.AVSC1 limit-lossyG,lossyA,ra.eqn.ab.bdrate-cr</t>
  </si>
  <si>
    <t>col.AVSC1 limit-lossyG,lossyA,ra.eqn.ab.bdrate-reflectance</t>
  </si>
  <si>
    <t>col.AVSC2 losslG,lossyA,ra.class</t>
  </si>
  <si>
    <t>col.AVSC2 losslG,lossyA,ra.sequence</t>
  </si>
  <si>
    <t>col.AVSC2 losslG,lossyA,ra.variant</t>
  </si>
  <si>
    <t>col.AVSC2 losslG,lossyA,ra.src.numpoints</t>
  </si>
  <si>
    <t>col.AVSC2 losslG,lossyA,ra.src.geometry-precision</t>
  </si>
  <si>
    <t>col.AVSC2 losslG,lossyA,ra.src.framecount</t>
  </si>
  <si>
    <t>col.AVSC2 losslG,lossyA,ra.src.framerate</t>
  </si>
  <si>
    <t>col.AVSC2 losslG,lossyA,ra.A.eqn.bitrate</t>
  </si>
  <si>
    <t>col.AVSC2 losslG,lossyA,ra.A.eqn.bpp</t>
  </si>
  <si>
    <t>col.AVSC2 losslG,lossyA,ra.A.eqn.bpp.geometry</t>
  </si>
  <si>
    <t>col.AVSC2 losslG,lossyA,ra.A.eqn.bpp.colour</t>
  </si>
  <si>
    <t>col.AVSC2 losslG,lossyA,ra.A.eqn.bpp.reflectance</t>
  </si>
  <si>
    <t>col.AVSC2 losslG,lossyA,ra.A.eqn.bpop</t>
  </si>
  <si>
    <t>col.AVSC2 losslG,lossyA,ra.A.dec.numpoints</t>
  </si>
  <si>
    <t>col.AVSC2 losslG,lossyA,ra.A.enc.ext.bits</t>
  </si>
  <si>
    <t>col.AVSC2 losslG,lossyA,ra.A.enc.bits.geometry</t>
  </si>
  <si>
    <t>col.AVSC2 losslG,lossyA,ra.A.enc.bits.colour</t>
  </si>
  <si>
    <t>col.AVSC2 losslG,lossyA,ra.A.enc.bits.reflectance</t>
  </si>
  <si>
    <t>col.AVSC2 losslG,lossyA,ra.A.dec.y-psnr</t>
  </si>
  <si>
    <t>col.AVSC2 losslG,lossyA,ra.A.dec.cb-psnr</t>
  </si>
  <si>
    <t>col.AVSC2 losslG,lossyA,ra.A.dec.cr-psnr</t>
  </si>
  <si>
    <t>col.AVSC2 losslG,lossyA,ra.A.dec.reflectance-psnr</t>
  </si>
  <si>
    <t>col.AVSC2 losslG,lossyA,ra.A.enc.utime</t>
  </si>
  <si>
    <t>col.AVSC2 losslG,lossyA,ra.A.dec.utime</t>
  </si>
  <si>
    <t>col.AVSC2 losslG,lossyA,ra.A.enc.ext.maxrssk</t>
  </si>
  <si>
    <t>col.AVSC2 losslG,lossyA,ra.A.dec.ext.maxrssk</t>
  </si>
  <si>
    <t>col.AVSC2 losslG,lossyA,ra.A.dec.enc.match</t>
  </si>
  <si>
    <t>col.AVSC2 losslG,lossyA,ra.B.eqn.bitrate</t>
  </si>
  <si>
    <t>col.AVSC2 losslG,lossyA,ra.B.eqn.bpp</t>
  </si>
  <si>
    <t>col.AVSC2 losslG,lossyA,ra.B.eqn.bpp.geometry</t>
  </si>
  <si>
    <t>col.AVSC2 losslG,lossyA,ra.B.eqn.bpp.colour</t>
  </si>
  <si>
    <t>col.AVSC2 losslG,lossyA,ra.B.eqn.bpp.reflectance</t>
  </si>
  <si>
    <t>col.AVSC2 losslG,lossyA,ra.B.eqn.bpop</t>
  </si>
  <si>
    <t>col.AVSC2 losslG,lossyA,ra.B.dec.numpoints</t>
  </si>
  <si>
    <t>col.AVSC2 losslG,lossyA,ra.B.enc.ext.bits</t>
  </si>
  <si>
    <t>col.AVSC2 losslG,lossyA,ra.B.enc.bits.geometry</t>
  </si>
  <si>
    <t>col.AVSC2 losslG,lossyA,ra.B.enc.bits.colour</t>
  </si>
  <si>
    <t>col.AVSC2 losslG,lossyA,ra.B.enc.bits.reflectance</t>
  </si>
  <si>
    <t>col.AVSC2 losslG,lossyA,ra.B.dec.y-psnr</t>
  </si>
  <si>
    <t>col.AVSC2 losslG,lossyA,ra.B.dec.cb-psnr</t>
  </si>
  <si>
    <t>col.AVSC2 losslG,lossyA,ra.B.dec.cr-psnr</t>
  </si>
  <si>
    <t>col.AVSC2 losslG,lossyA,ra.B.dec.reflectance-psnr</t>
  </si>
  <si>
    <t>col.AVSC2 losslG,lossyA,ra.B.enc.utime</t>
  </si>
  <si>
    <t>col.AVSC2 losslG,lossyA,ra.B.dec.utime</t>
  </si>
  <si>
    <t>col.AVSC2 losslG,lossyA,ra.B.enc.ext.maxrssk</t>
  </si>
  <si>
    <t>col.AVSC2 losslG,lossyA,ra.B.dec.ext.maxrssk</t>
  </si>
  <si>
    <t>col.AVSC2 losslG,lossyA,ra.B.dec.enc.match</t>
  </si>
  <si>
    <t>col.AVSC2 losslG,lossyA,ra.eqn.ab.ratio-enc-maxrssk</t>
  </si>
  <si>
    <t>col.AVSC2 losslG,lossyA,ra.eqn.ab.ratio-dec-maxrssk</t>
  </si>
  <si>
    <t>col.AVSC2 losslG,lossyA,ra.eqn.ab.delta-geom_total_bits_ratio</t>
  </si>
  <si>
    <t>col.AVSC2 losslG,lossyA,ra.eqn.ab.mean-delta-geom_total_bits_ratio</t>
  </si>
  <si>
    <t>col.AVSC2 losslG,lossyA,ra.eqn.ab.bdrate-y-attrrate</t>
  </si>
  <si>
    <t>col.AVSC2 losslG,lossyA,ra.eqn.ab.bdrate-cb-attrrate</t>
  </si>
  <si>
    <t>col.AVSC2 losslG,lossyA,ra.eqn.ab.bdrate-cr-attrrate</t>
  </si>
  <si>
    <t>col.AVSC2 losslG,lossyA,ra.eqn.ab.bdrate-reflectance-attrrate</t>
  </si>
  <si>
    <t>col.AVSC2 losslG,lossyA,ra.eqn.ab.bdrate-y</t>
  </si>
  <si>
    <t>col.AVSC2 losslG,lossyA,ra.eqn.ab.bdrate-cb</t>
  </si>
  <si>
    <t>col.AVSC2 losslG,lossyA,ra.eqn.ab.bdrate-cr</t>
  </si>
  <si>
    <t>col.AVSC2 losslG,lossyA,ra.eqn.ab.bdrate-reflectance</t>
  </si>
  <si>
    <t>name.A.AVSC2 losslG,lossyA,ra</t>
  </si>
  <si>
    <t>name.B.AVSC2 losslG,lossyA,ra</t>
  </si>
  <si>
    <t>range.AVSC2 losslG,lossyA,ra.ford_01</t>
  </si>
  <si>
    <t>range.AVSC2 losslG,lossyA,ra.ford_02</t>
  </si>
  <si>
    <t>range.AVSC2 losslG,lossyA,ra.ford_03</t>
  </si>
  <si>
    <t>col.AVSC3 losslG,limit-lossyA,ra.class</t>
  </si>
  <si>
    <t>col.AVSC3 losslG,limit-lossyA,ra.sequence</t>
  </si>
  <si>
    <t>col.AVSC3 losslG,limit-lossyA,ra.variant</t>
  </si>
  <si>
    <t>col.AVSC3 losslG,limit-lossyA,ra.src.numpoints</t>
  </si>
  <si>
    <t>col.AVSC3 losslG,limit-lossyA,ra.src.geometry-precision</t>
  </si>
  <si>
    <t>col.AVSC3 losslG,limit-lossyA,ra.src.framecount</t>
  </si>
  <si>
    <t>col.AVSC3 losslG,limit-lossyA,ra.src.framerate</t>
  </si>
  <si>
    <t>col.AVSC3 losslG,limit-lossyA,ra.A.eqn.bitrate</t>
  </si>
  <si>
    <t>col.AVSC3 losslG,limit-lossyA,ra.A.eqn.bpp</t>
  </si>
  <si>
    <t>col.AVSC3 losslG,limit-lossyA,ra.A.eqn.bpp.geometry</t>
  </si>
  <si>
    <t>col.AVSC3 losslG,limit-lossyA,ra.A.eqn.bpp.colour</t>
  </si>
  <si>
    <t>col.AVSC3 losslG,limit-lossyA,ra.A.eqn.bpp.reflectance</t>
  </si>
  <si>
    <t>col.AVSC3 losslG,limit-lossyA,ra.A.eqn.bpop</t>
  </si>
  <si>
    <t>col.AVSC3 losslG,limit-lossyA,ra.A.dec.numpoints</t>
  </si>
  <si>
    <t>col.AVSC3 losslG,limit-lossyA,ra.A.enc.ext.bits</t>
  </si>
  <si>
    <t>col.AVSC3 losslG,limit-lossyA,ra.A.enc.bits.geometry</t>
  </si>
  <si>
    <t>col.AVSC3 losslG,limit-lossyA,ra.A.enc.bits.colour</t>
  </si>
  <si>
    <t>col.AVSC3 losslG,limit-lossyA,ra.A.enc.bits.reflectance</t>
  </si>
  <si>
    <t>col.AVSC3 losslG,limit-lossyA,ra.A.dec.y-psnr</t>
  </si>
  <si>
    <t>col.AVSC3 losslG,limit-lossyA,ra.A.dec.cb-psnr</t>
  </si>
  <si>
    <t>col.AVSC3 losslG,limit-lossyA,ra.A.dec.cr-psnr</t>
  </si>
  <si>
    <t>col.AVSC3 losslG,limit-lossyA,ra.A.dec.reflectance-psnr</t>
  </si>
  <si>
    <t>col.AVSC3 losslG,limit-lossyA,ra.A.dec.y-hpsnr</t>
  </si>
  <si>
    <t>col.AVSC3 losslG,limit-lossyA,ra.A.dec.cb-hpsnr</t>
  </si>
  <si>
    <t>col.AVSC3 losslG,limit-lossyA,ra.A.dec.cr-hpsnr</t>
  </si>
  <si>
    <t>col.AVSC3 losslG,limit-lossyA,ra.A.dec.reflectance-hpsnr</t>
  </si>
  <si>
    <t>col.AVSC3 losslG,limit-lossyA,ra.A.enc.utime</t>
  </si>
  <si>
    <t>col.AVSC3 losslG,limit-lossyA,ra.A.dec.utime</t>
  </si>
  <si>
    <t>col.AVSC3 losslG,limit-lossyA,ra.A.enc.ext.maxrssk</t>
  </si>
  <si>
    <t>col.AVSC3 losslG,limit-lossyA,ra.A.dec.ext.maxrssk</t>
  </si>
  <si>
    <t>col.AVSC3 losslG,limit-lossyA,ra.A.dec.enc.match</t>
  </si>
  <si>
    <t>col.AVSC3 losslG,limit-lossyA,ra.B.eqn.bitrate</t>
  </si>
  <si>
    <t>col.AVSC3 losslG,limit-lossyA,ra.B.eqn.bpp</t>
  </si>
  <si>
    <t>col.AVSC3 losslG,limit-lossyA,ra.B.eqn.bpp.geometry</t>
  </si>
  <si>
    <t>col.AVSC3 losslG,limit-lossyA,ra.B.eqn.bpp.colour</t>
  </si>
  <si>
    <t>col.AVSC3 losslG,limit-lossyA,ra.B.eqn.bpp.reflectance</t>
  </si>
  <si>
    <t>col.AVSC3 losslG,limit-lossyA,ra.B.eqn.bpop</t>
  </si>
  <si>
    <t>col.AVSC3 losslG,limit-lossyA,ra.B.dec.numpoints</t>
  </si>
  <si>
    <t>col.AVSC3 losslG,limit-lossyA,ra.B.enc.ext.bits</t>
  </si>
  <si>
    <t>col.AVSC3 losslG,limit-lossyA,ra.B.enc.bits.geometry</t>
  </si>
  <si>
    <t>col.AVSC3 losslG,limit-lossyA,ra.B.enc.bits.colour</t>
  </si>
  <si>
    <t>col.AVSC3 losslG,limit-lossyA,ra.B.enc.bits.reflectance</t>
  </si>
  <si>
    <t>col.AVSC3 losslG,limit-lossyA,ra.B.dec.y-psnr</t>
  </si>
  <si>
    <t>col.AVSC3 losslG,limit-lossyA,ra.B.dec.cb-psnr</t>
  </si>
  <si>
    <t>col.AVSC3 losslG,limit-lossyA,ra.B.dec.cr-psnr</t>
  </si>
  <si>
    <t>col.AVSC3 losslG,limit-lossyA,ra.B.dec.reflectance-psnr</t>
  </si>
  <si>
    <t>col.AVSC3 losslG,limit-lossyA,ra.B.dec.y-hpsnr</t>
  </si>
  <si>
    <t>col.AVSC3 losslG,limit-lossyA,ra.B.dec.cb-hpsnr</t>
  </si>
  <si>
    <t>col.AVSC3 losslG,limit-lossyA,ra.B.dec.cr-hpsnr</t>
  </si>
  <si>
    <t>col.AVSC3 losslG,limit-lossyA,ra.B.dec.reflectance-hpsnr</t>
  </si>
  <si>
    <t>col.AVSC3 losslG,limit-lossyA,ra.B.enc.utime</t>
  </si>
  <si>
    <t>col.AVSC3 losslG,limit-lossyA,ra.B.dec.utime</t>
  </si>
  <si>
    <t>col.AVSC3 losslG,limit-lossyA,ra.B.enc.ext.maxrssk</t>
  </si>
  <si>
    <t>col.AVSC3 losslG,limit-lossyA,ra.B.dec.ext.maxrssk</t>
  </si>
  <si>
    <t>col.AVSC3 losslG,limit-lossyA,ra.B.dec.enc.match</t>
  </si>
  <si>
    <t>col.AVSC3 losslG,limit-lossyA,ra.eqn.ab.ratio-enc-maxrssk</t>
  </si>
  <si>
    <t>col.AVSC3 losslG,limit-lossyA,ra.eqn.ab.ratio-dec-maxrssk</t>
  </si>
  <si>
    <t>col.AVSC3 losslG,limit-lossyA,ra.eqn.ab.delta-geom_total_bits_ratio</t>
  </si>
  <si>
    <t>col.AVSC3 losslG,limit-lossyA,ra.eqn.ab.mean-delta-geom_total_bits_ratio</t>
  </si>
  <si>
    <t>col.AVSC3 losslG,limit-lossyA,ra.eqn.ab.bdrate-y-attrrate</t>
  </si>
  <si>
    <t>col.AVSC3 losslG,limit-lossyA,ra.eqn.ab.bdrate-cb-attrrate</t>
  </si>
  <si>
    <t>col.AVSC3 losslG,limit-lossyA,ra.eqn.ab.bdrate-cr-attrrate</t>
  </si>
  <si>
    <t>col.AVSC3 losslG,limit-lossyA,ra.eqn.ab.bdrate-reflectance-attrrate</t>
  </si>
  <si>
    <t>col.AVSC3 losslG,limit-lossyA,ra.eqn.ab.bdrate-hy-attrrate</t>
  </si>
  <si>
    <t>col.AVSC3 losslG,limit-lossyA,ra.eqn.ab.bdrate-hcb-attrrate</t>
  </si>
  <si>
    <t>col.AVSC3 losslG,limit-lossyA,ra.eqn.ab.bdrate-hcr-attrrate</t>
  </si>
  <si>
    <t>col.AVSC3 losslG,limit-lossyA,ra.eqn.ab.bdrate-hreflectance-attrrate</t>
  </si>
  <si>
    <t>col.AVSC3 losslG,limit-lossyA,ra.eqn.ab.bdrate-y</t>
  </si>
  <si>
    <t>col.AVSC3 losslG,limit-lossyA,ra.eqn.ab.bdrate-cb</t>
  </si>
  <si>
    <t>col.AVSC3 losslG,limit-lossyA,ra.eqn.ab.bdrate-cr</t>
  </si>
  <si>
    <t>col.AVSC3 losslG,limit-lossyA,ra.eqn.ab.bdrate-reflectance</t>
  </si>
  <si>
    <t>col.AVSC3 losslG,limit-lossyA,ra.eqn.ab.bdrate-hy</t>
  </si>
  <si>
    <t>col.AVSC3 losslG,limit-lossyA,ra.eqn.ab.bdrate-hcb</t>
  </si>
  <si>
    <t>col.AVSC3 losslG,limit-lossyA,ra.eqn.ab.bdrate-hcr</t>
  </si>
  <si>
    <t>col.AVSC3 losslG,limit-lossyA,ra.eqn.ab.bdrate-hreflectance</t>
  </si>
  <si>
    <t>name.A.AVSC3 losslG,limit-lossyA,ra</t>
  </si>
  <si>
    <t>name.B.AVSC3 losslG,limit-lossyA,ra</t>
  </si>
  <si>
    <t>range.AVSC3 losslG,limit-lossyA,ra.ford_01</t>
  </si>
  <si>
    <t>range.AVSC3 losslG,limit-lossyA,ra.ford_02</t>
  </si>
  <si>
    <t>range.AVSC3 losslG,limit-lossyA,ra.ford_03</t>
  </si>
  <si>
    <t>col.AVSC4 losslG,losslA,ra.class</t>
  </si>
  <si>
    <t>col.AVSC4 losslG,losslA,ra.sequence</t>
  </si>
  <si>
    <t>col.AVSC4 losslG,losslA,ra.src.numpoints</t>
  </si>
  <si>
    <t>col.AVSC4 losslG,losslA,ra.src.geometry-precision</t>
  </si>
  <si>
    <t>col.AVSC4 losslG,losslA,ra.src.framecount</t>
  </si>
  <si>
    <t>col.AVSC4 losslG,losslA,ra.src.framerate</t>
  </si>
  <si>
    <t>col.AVSC4 losslG,losslA,ra.A.eqn.bitrate</t>
  </si>
  <si>
    <t>col.AVSC4 losslG,losslA,ra.A.eqn.bpp</t>
  </si>
  <si>
    <t>col.AVSC4 losslG,losslA,ra.A.eqn.bpp.geometry</t>
  </si>
  <si>
    <t>col.AVSC4 losslG,losslA,ra.A.eqn.bpp.colour</t>
  </si>
  <si>
    <t>col.AVSC4 losslG,losslA,ra.A.eqn.bpp.reflectance</t>
  </si>
  <si>
    <t>col.AVSC4 losslG,losslA,ra.A.eqn.bpop</t>
  </si>
  <si>
    <t>col.AVSC4 losslG,losslA,ra.A.dec.numpoints</t>
  </si>
  <si>
    <t>col.AVSC4 losslG,losslA,ra.A.enc.ext.bits</t>
  </si>
  <si>
    <t>col.AVSC4 losslG,losslA,ra.A.enc.bits.geometry</t>
  </si>
  <si>
    <t>col.AVSC4 losslG,losslA,ra.A.enc.bits.colour</t>
  </si>
  <si>
    <t>col.AVSC4 losslG,losslA,ra.A.enc.bits.reflectance</t>
  </si>
  <si>
    <t>col.AVSC4 losslG,losslA,ra.A.enc.utime</t>
  </si>
  <si>
    <t>col.AVSC4 losslG,losslA,ra.A.dec.utime</t>
  </si>
  <si>
    <t>col.AVSC4 losslG,losslA,ra.A.enc.ext.maxrssk</t>
  </si>
  <si>
    <t>col.AVSC4 losslG,losslA,ra.A.dec.ext.maxrssk</t>
  </si>
  <si>
    <t>col.AVSC4 losslG,losslA,ra.A.dec.enc.match</t>
  </si>
  <si>
    <t>col.AVSC4 losslG,losslA,ra.B.eqn.bitrate</t>
  </si>
  <si>
    <t>col.AVSC4 losslG,losslA,ra.B.eqn.bpp</t>
  </si>
  <si>
    <t>col.AVSC4 losslG,losslA,ra.B.eqn.bpp.geometry</t>
  </si>
  <si>
    <t>col.AVSC4 losslG,losslA,ra.B.eqn.bpp.colour</t>
  </si>
  <si>
    <t>col.AVSC4 losslG,losslA,ra.B.eqn.bpp.reflectance</t>
  </si>
  <si>
    <t>col.AVSC4 losslG,losslA,ra.B.eqn.bpop</t>
  </si>
  <si>
    <t>col.AVSC4 losslG,losslA,ra.B.dec.numpoints</t>
  </si>
  <si>
    <t>col.AVSC4 losslG,losslA,ra.B.enc.ext.bits</t>
  </si>
  <si>
    <t>col.AVSC4 losslG,losslA,ra.B.enc.bits.geometry</t>
  </si>
  <si>
    <t>col.AVSC4 losslG,losslA,ra.B.enc.bits.colour</t>
  </si>
  <si>
    <t>col.AVSC4 losslG,losslA,ra.B.enc.bits.reflectance</t>
  </si>
  <si>
    <t>col.AVSC4 losslG,losslA,ra.B.enc.utime</t>
  </si>
  <si>
    <t>col.AVSC4 losslG,losslA,ra.B.dec.utime</t>
  </si>
  <si>
    <t>col.AVSC4 losslG,losslA,ra.B.enc.ext.maxrssk</t>
  </si>
  <si>
    <t>col.AVSC4 losslG,losslA,ra.B.dec.ext.maxrssk</t>
  </si>
  <si>
    <t>col.AVSC4 losslG,losslA,ra.B.dec.enc.match</t>
  </si>
  <si>
    <t>col.AVSC4 losslG,losslA,ra.eqn.ab.ratio-bpp</t>
  </si>
  <si>
    <t>col.AVSC4 losslG,losslA,ra.eqn.ab.ratio-bpp-geometry</t>
  </si>
  <si>
    <t>col.AVSC4 losslG,losslA,ra.eqn.ab.ratio-bpp-colour</t>
  </si>
  <si>
    <t>col.AVSC4 losslG,losslA,ra.eqn.ab.ratio-bpp-reflectance</t>
  </si>
  <si>
    <t>col.AVSC4 losslG,losslA,ra.eqn.ab.ratio-enc-maxrssk</t>
  </si>
  <si>
    <t>col.AVSC4 losslG,losslA,ra.eqn.ab.ratio-dec-maxrssk</t>
  </si>
  <si>
    <t>col.AVSC4 losslG,losslA,ra.eqn.ab.delta-geom_total_bits_ratio</t>
  </si>
  <si>
    <t>col.AVSC4 losslG,losslA,ra.eqn.ab.mean-delta-geom_total_bits_ratio</t>
  </si>
  <si>
    <t>name.A.AVSC4 losslG,losslA,ra</t>
  </si>
  <si>
    <t>name.B.AVSC4 losslG,losslA,ra</t>
  </si>
  <si>
    <t>range.AVSC4 losslG,losslA,ra.ford_01</t>
  </si>
  <si>
    <t>range.AVSC4 losslG,losslA,ra.ford_02</t>
  </si>
  <si>
    <t>range.AVSC4 losslG,losslA,ra.ford_03</t>
  </si>
  <si>
    <t>range.AVSC2 losslG,lossyA,intra.ford_03</t>
    <phoneticPr fontId="2" type="noConversion"/>
  </si>
  <si>
    <t>range.AVSC2 losslG,lossyA,intra.livox_01_all</t>
    <phoneticPr fontId="2" type="noConversion"/>
  </si>
  <si>
    <t>range.AVSC3 losslG,limit-lossyA,intra.livox_01_all</t>
    <phoneticPr fontId="2" type="noConversion"/>
  </si>
  <si>
    <t>range.AVSC4 losslG,losslA,intra.livox_01_all</t>
    <phoneticPr fontId="2" type="noConversion"/>
  </si>
  <si>
    <t>geo.h-mse</t>
    <phoneticPr fontId="2" type="noConversion"/>
  </si>
  <si>
    <t>range.AVSC2 losslG,lossyA,intra.livox_02_all</t>
    <phoneticPr fontId="2" type="noConversion"/>
  </si>
  <si>
    <t>range.AVSC2 losslG,lossyA,intra.basketball_player_vox11</t>
    <phoneticPr fontId="2" type="noConversion"/>
  </si>
  <si>
    <t>range.AVSC2 losslG,lossyA,intra.dancer_player_vox11</t>
    <phoneticPr fontId="2" type="noConversion"/>
  </si>
  <si>
    <t>range.AVSC2 losslG,lossyA,intra.exercise_vox11</t>
    <phoneticPr fontId="2" type="noConversion"/>
  </si>
  <si>
    <t>range.AVSC2 losslG,lossyA,intra.model_vox11</t>
    <phoneticPr fontId="2" type="noConversion"/>
  </si>
  <si>
    <t>range.AVSC3 losslG,limit-lossyA,intra.livox_02_all</t>
    <phoneticPr fontId="2" type="noConversion"/>
  </si>
  <si>
    <t>range.AVSC3 losslG,limit-lossyA,intra.basketball_player_vox11</t>
    <phoneticPr fontId="2" type="noConversion"/>
  </si>
  <si>
    <t>range.AVSC3 losslG,limit-lossyA,intra.dancer_player_vox11</t>
    <phoneticPr fontId="2" type="noConversion"/>
  </si>
  <si>
    <t>range.AVSC3 losslG,limit-lossyA,intra.exercise_vox11</t>
    <phoneticPr fontId="2" type="noConversion"/>
  </si>
  <si>
    <t>range.AVSC3 losslG,limit-lossyA,intra.model_vox11</t>
    <phoneticPr fontId="2" type="noConversion"/>
  </si>
  <si>
    <t>range.AVSC4 losslG,losslA,intra.livox_02_all</t>
    <phoneticPr fontId="2" type="noConversion"/>
  </si>
  <si>
    <t>range.AVSC4 losslG,losslA,intra.dancer_player_vox11</t>
    <phoneticPr fontId="2" type="noConversion"/>
  </si>
  <si>
    <t>range.AVSC4 losslG,losslA,intra.exercise_vox11</t>
    <phoneticPr fontId="2" type="noConversion"/>
  </si>
  <si>
    <t>range.AVSC4 losslG,losslA,intra.model_vox11</t>
    <phoneticPr fontId="2" type="noConversion"/>
  </si>
  <si>
    <t>User Encoder runtime [s]</t>
    <phoneticPr fontId="2" type="noConversion"/>
  </si>
  <si>
    <t>User Decoder runtime [s]</t>
    <phoneticPr fontId="2" type="noConversion"/>
  </si>
  <si>
    <t>User Encoder runtime [s]</t>
    <phoneticPr fontId="2" type="noConversion"/>
  </si>
  <si>
    <t>User Decoder runtime [s]</t>
    <phoneticPr fontId="2" type="noConversion"/>
  </si>
  <si>
    <t>cols.AVSC1 limit-lossyG,lossyA,ra</t>
  </si>
  <si>
    <t>col.AVSC1 limit-lossyG,lossyA,intra.A.dec.ext.maxrssk</t>
  </si>
  <si>
    <t>col.AVSC1 limit-lossyG,lossyA,intra.A.geo.h-mse</t>
  </si>
  <si>
    <t>col.AVSC1 limit-lossyG,lossyA,intra.B.geo.h-mse</t>
  </si>
  <si>
    <t>range.AVSC1 limit-lossyG,lossyA,intra.ford_01</t>
  </si>
  <si>
    <t>range.AVSC1 limit-lossyG,lossyA,intra.ford_02</t>
  </si>
  <si>
    <t>range.AVSC1 limit-lossyG,lossyA,intra.ford_03</t>
  </si>
  <si>
    <t>range.AVSC1 limit-lossyG,lossyA,intra.livox_01_all</t>
  </si>
  <si>
    <t>range.AVSC1 limit-lossyG,lossyA,intra.livox_02_all</t>
  </si>
  <si>
    <t>range.AVSC1 limit-lossyG,lossyA,intra.basketball_player_vox11</t>
  </si>
  <si>
    <t>range.AVSC1 limit-lossyG,lossyA,intra.dancer_player_vox11</t>
  </si>
  <si>
    <t>range.AVSC1 limit-lossyG,lossyA,intra.exercise_vox11</t>
  </si>
  <si>
    <t>range.AVSC1 limit-lossyG,lossyA,intra.model_vox11</t>
  </si>
  <si>
    <t>col.AVSC1 limit-lossyG,lossyA,ra.A.geo.h-mse</t>
  </si>
  <si>
    <t>col.AVSC1 limit-lossyG,lossyA,ra.B.geo.h-mse</t>
  </si>
  <si>
    <t>col.AVSC1 limit-lossyG,lossyA,intra.src.numpoints</t>
    <phoneticPr fontId="2" type="noConversion"/>
  </si>
  <si>
    <t>col.AVSC1 limit-lossyG,lossyA,intra.A.dec.d1-psnr</t>
    <phoneticPr fontId="2" type="noConversion"/>
  </si>
  <si>
    <t>col.AVSC1 limit-lossyG,lossyA,intra.A.dec.d1-hpsnr</t>
    <phoneticPr fontId="2" type="noConversion"/>
  </si>
  <si>
    <t>col.AVSC1 limit-lossyG,lossyA,intra.B.dec.d1-psnr</t>
    <phoneticPr fontId="2" type="noConversion"/>
  </si>
  <si>
    <t>col.AVSC1 limit-lossyG,lossyA,intra.B.dec.d1-hpsnr</t>
    <phoneticPr fontId="2" type="noConversion"/>
  </si>
  <si>
    <t>dec.d1-psnr</t>
    <phoneticPr fontId="2" type="noConversion"/>
  </si>
  <si>
    <t>dec.d1-hpsnr</t>
    <phoneticPr fontId="2" type="noConversion"/>
  </si>
  <si>
    <t>range.AVSC1 limit-lossyG,lossyA,intra.bridge_1mm</t>
    <phoneticPr fontId="2" type="noConversion"/>
  </si>
  <si>
    <t>range.AVSC1 limit-lossyG,lossyA,intra.double_T_section_1mm</t>
    <phoneticPr fontId="2" type="noConversion"/>
  </si>
  <si>
    <t>range.AVSC1 limit-lossyG,lossyA,intra.intersection1_1mm</t>
    <phoneticPr fontId="2" type="noConversion"/>
  </si>
  <si>
    <t>range.AVSC1 limit-lossyG,lossyA,intra.intersection2_1mm</t>
    <phoneticPr fontId="2" type="noConversion"/>
  </si>
  <si>
    <t>range.AVSC1 limit-lossyG,lossyA,intra.straight_road_1mm</t>
    <phoneticPr fontId="2" type="noConversion"/>
  </si>
  <si>
    <t>range.AVSC1 limit-lossyG,lossyA,intra.T_section_1mm</t>
    <phoneticPr fontId="2" type="noConversion"/>
  </si>
  <si>
    <t>range.AVSC2 losslG,lossyA,intra.bridge_1mm</t>
    <phoneticPr fontId="2" type="noConversion"/>
  </si>
  <si>
    <t>range.AVSC2 losslG,lossyA,intra.double_T_section_1mm</t>
    <phoneticPr fontId="2" type="noConversion"/>
  </si>
  <si>
    <t>range.AVSC2 losslG,lossyA,intra.intersection1_1mm</t>
    <phoneticPr fontId="2" type="noConversion"/>
  </si>
  <si>
    <t>range.AVSC2 losslG,lossyA,intra.intersection2_1mm</t>
    <phoneticPr fontId="2" type="noConversion"/>
  </si>
  <si>
    <t>range.AVSC2 losslG,lossyA,intra.straight_road_1mm</t>
    <phoneticPr fontId="2" type="noConversion"/>
  </si>
  <si>
    <t>range.AVSC2 losslG,lossyA,intra.T_section_1mm</t>
    <phoneticPr fontId="2" type="noConversion"/>
  </si>
  <si>
    <t>range.AVSC3 losslG,limit-lossyA,intra.bridge_1mm</t>
    <phoneticPr fontId="2" type="noConversion"/>
  </si>
  <si>
    <t>range.AVSC3 losslG,limit-lossyA,intra.double_T_section_1mm</t>
    <phoneticPr fontId="2" type="noConversion"/>
  </si>
  <si>
    <t>range.AVSC3 losslG,limit-lossyA,intra.intersection1_1mm</t>
    <phoneticPr fontId="2" type="noConversion"/>
  </si>
  <si>
    <t>range.AVSC3 losslG,limit-lossyA,intra.intersection2_1mm</t>
    <phoneticPr fontId="2" type="noConversion"/>
  </si>
  <si>
    <t>range.AVSC3 losslG,limit-lossyA,intra.straight_road_1mm</t>
    <phoneticPr fontId="2" type="noConversion"/>
  </si>
  <si>
    <t>range.AVSC3 losslG,limit-lossyA,intra.T_section_1mm</t>
    <phoneticPr fontId="2" type="noConversion"/>
  </si>
  <si>
    <t>range.AVSC4 losslG,losslA,intra.bridge_1mm</t>
    <phoneticPr fontId="2" type="noConversion"/>
  </si>
  <si>
    <t>range.AVSC4 losslG,losslA,intra.double_T_section_1mm</t>
    <phoneticPr fontId="2" type="noConversion"/>
  </si>
  <si>
    <t>range.AVSC4 losslG,losslA,intra.intersection1_1mm</t>
    <phoneticPr fontId="2" type="noConversion"/>
  </si>
  <si>
    <t>range.AVSC4 losslG,losslA,intra.intersection2_1mm</t>
    <phoneticPr fontId="2" type="noConversion"/>
  </si>
  <si>
    <t>range.AVSC4 losslG,losslA,intra.straight_road_1mm</t>
    <phoneticPr fontId="2" type="noConversion"/>
  </si>
  <si>
    <t>range.AVSC4 losslG,losslA,intra.T_section_1mm</t>
    <phoneticPr fontId="2" type="noConversion"/>
  </si>
  <si>
    <t>range.AVSC1 limit-lossyG,lossyA,intra.stanford_area_2_vox20</t>
    <phoneticPr fontId="2" type="noConversion"/>
  </si>
  <si>
    <t>range.AVSC1 limit-lossyG,lossyA,intra.Church_vox16</t>
    <phoneticPr fontId="2" type="noConversion"/>
  </si>
  <si>
    <t>range.AVSC1 limit-lossyG,lossyA,intra.stanford_area_4_vox20</t>
    <phoneticPr fontId="2" type="noConversion"/>
  </si>
  <si>
    <t>range.AVSC1 limit-lossyG,lossyA,intra.Courthouse_vox16</t>
    <phoneticPr fontId="2" type="noConversion"/>
  </si>
  <si>
    <t>range.AVSC1 limit-lossyG,lossyA,intra.Ignatius_vox11</t>
    <phoneticPr fontId="2" type="noConversion"/>
  </si>
  <si>
    <t>range.AVSC1 limit-lossyG,lossyA,intra.QQdog_vox15</t>
    <phoneticPr fontId="2" type="noConversion"/>
  </si>
  <si>
    <t>range.AVSC1 limit-lossyG,lossyA,intra.Truck_vox15</t>
    <phoneticPr fontId="2" type="noConversion"/>
  </si>
  <si>
    <t>range.AVSC2 losslG,lossyA,intra.stanford_area_2_vox20</t>
    <phoneticPr fontId="2" type="noConversion"/>
  </si>
  <si>
    <t>range.AVSC2 losslG,lossyA,intra.stanford_area_4_vox20</t>
    <phoneticPr fontId="2" type="noConversion"/>
  </si>
  <si>
    <t>range.AVSC2 losslG,lossyA,intra.Church_vox16</t>
    <phoneticPr fontId="2" type="noConversion"/>
  </si>
  <si>
    <t>range.AVSC2 losslG,lossyA,intra.Courthouse_vox16</t>
    <phoneticPr fontId="2" type="noConversion"/>
  </si>
  <si>
    <t>range.AVSC2 losslG,lossyA,intra.Ignatius_vox11</t>
    <phoneticPr fontId="2" type="noConversion"/>
  </si>
  <si>
    <t>range.AVSC2 losslG,lossyA,intra.QQdog_vox15</t>
    <phoneticPr fontId="2" type="noConversion"/>
  </si>
  <si>
    <t>range.AVSC2 losslG,lossyA,intra.Truck_vox15</t>
    <phoneticPr fontId="2" type="noConversion"/>
  </si>
  <si>
    <t>range.AVSC3 losslG,limit-lossyA,intra.stanford_area_2_vox20</t>
    <phoneticPr fontId="2" type="noConversion"/>
  </si>
  <si>
    <t>range.AVSC3 losslG,limit-lossyA,intra.stanford_area_4_vox20</t>
    <phoneticPr fontId="2" type="noConversion"/>
  </si>
  <si>
    <t>range.AVSC3 losslG,limit-lossyA,intra.Church_vox16</t>
    <phoneticPr fontId="2" type="noConversion"/>
  </si>
  <si>
    <t>range.AVSC3 losslG,limit-lossyA,intra.Courthouse_vox16</t>
    <phoneticPr fontId="2" type="noConversion"/>
  </si>
  <si>
    <t>range.AVSC3 losslG,limit-lossyA,intra.Ignatius_vox11</t>
    <phoneticPr fontId="2" type="noConversion"/>
  </si>
  <si>
    <t>range.AVSC3 losslG,limit-lossyA,intra.QQdog_vox15</t>
    <phoneticPr fontId="2" type="noConversion"/>
  </si>
  <si>
    <t>range.AVSC3 losslG,limit-lossyA,intra.Truck_vox15</t>
    <phoneticPr fontId="2" type="noConversion"/>
  </si>
  <si>
    <t>range.AVSC4 losslG,losslA,intra.stanford_area_2_vox20</t>
    <phoneticPr fontId="2" type="noConversion"/>
  </si>
  <si>
    <t>range.AVSC4 losslG,losslA,intra.stanford_area_4_vox20</t>
    <phoneticPr fontId="2" type="noConversion"/>
  </si>
  <si>
    <t>range.AVSC4 losslG,losslA,intra.Church_vox16</t>
    <phoneticPr fontId="2" type="noConversion"/>
  </si>
  <si>
    <t>range.AVSC4 losslG,losslA,intra.Courthouse_vox16</t>
    <phoneticPr fontId="2" type="noConversion"/>
  </si>
  <si>
    <t>range.AVSC4 losslG,losslA,intra.Ignatius_vox11</t>
    <phoneticPr fontId="2" type="noConversion"/>
  </si>
  <si>
    <t>range.AVSC4 losslG,losslA,intra.QQdog_vox15</t>
    <phoneticPr fontId="2" type="noConversion"/>
  </si>
  <si>
    <t>range.AVSC4 losslG,losslA,intra.Truck_vox15</t>
    <phoneticPr fontId="2" type="noConversion"/>
  </si>
  <si>
    <t>range.AVSC1 limit-lossyG,lossyA,ra.stanford_area_2_vox20</t>
  </si>
  <si>
    <t>range.AVSC1 limit-lossyG,lossyA,ra.stanford_area_4_vox20</t>
  </si>
  <si>
    <t>range.AVSC1 limit-lossyG,lossyA,ra.Church_vox16</t>
  </si>
  <si>
    <t>range.AVSC1 limit-lossyG,lossyA,ra.Courthouse_vox16</t>
  </si>
  <si>
    <t>range.AVSC1 limit-lossyG,lossyA,ra.Ignatius_vox11</t>
  </si>
  <si>
    <t>range.AVSC1 limit-lossyG,lossyA,ra.QQdog_vox15</t>
  </si>
  <si>
    <t>range.AVSC1 limit-lossyG,lossyA,ra.Truck_vox15</t>
  </si>
  <si>
    <t>range.AVSC1 limit-lossyG,lossyA,ra.ford_01</t>
  </si>
  <si>
    <t>range.AVSC1 limit-lossyG,lossyA,ra.ford_02</t>
  </si>
  <si>
    <t>range.AVSC1 limit-lossyG,lossyA,ra.ford_03</t>
  </si>
  <si>
    <t>range.AVSC1 limit-lossyG,lossyA,ra.livox_01_all</t>
  </si>
  <si>
    <t>range.AVSC1 limit-lossyG,lossyA,ra.livox_02_all</t>
  </si>
  <si>
    <t>range.AVSC1 limit-lossyG,lossyA,ra.basketball_player_vox11</t>
  </si>
  <si>
    <t>range.AVSC1 limit-lossyG,lossyA,ra.dancer_player_vox11</t>
  </si>
  <si>
    <t>range.AVSC1 limit-lossyG,lossyA,ra.exercise_vox11</t>
  </si>
  <si>
    <t>range.AVSC1 limit-lossyG,lossyA,ra.model_vox11</t>
  </si>
  <si>
    <t>range.AVSC4 losslG,losslA,ra.stanford_area_4_vox20</t>
  </si>
  <si>
    <t>range.AVSC4 losslG,losslA,ra.stanford_area_2_vox20</t>
  </si>
  <si>
    <t>range.AVSC4 losslG,losslA,ra.Church_vox16</t>
  </si>
  <si>
    <t>range.AVSC4 losslG,losslA,ra.Courthouse_vox16</t>
  </si>
  <si>
    <t>range.AVSC4 losslG,losslA,ra.Ignatius_vox11</t>
  </si>
  <si>
    <t>range.AVSC4 losslG,losslA,ra.QQdog_vox15</t>
  </si>
  <si>
    <t>range.AVSC4 losslG,losslA,ra.Truck_vox15</t>
  </si>
  <si>
    <t>range.AVSC4 losslG,losslA,ra.livox_01_all</t>
  </si>
  <si>
    <t>range.AVSC4 losslG,losslA,ra.livox_02_all</t>
  </si>
  <si>
    <t>range.AVSC4 losslG,losslA,ra.basketball_player_vox11</t>
  </si>
  <si>
    <t>range.AVSC4 losslG,losslA,ra.dancer_player_vox11</t>
  </si>
  <si>
    <t>range.AVSC4 losslG,losslA,ra.exercise_vox11</t>
  </si>
  <si>
    <t>range.AVSC4 losslG,losslA,ra.model_vox11</t>
  </si>
  <si>
    <t>range.AVSC3 losslG,limit-lossyA,ra.stanford_area_2_vox20</t>
  </si>
  <si>
    <t>range.AVSC3 losslG,limit-lossyA,ra.stanford_area_4_vox20</t>
  </si>
  <si>
    <t>range.AVSC3 losslG,limit-lossyA,ra.Church_vox16</t>
  </si>
  <si>
    <t>range.AVSC3 losslG,limit-lossyA,ra.Courthouse_vox16</t>
  </si>
  <si>
    <t>range.AVSC3 losslG,limit-lossyA,ra.Ignatius_vox11</t>
  </si>
  <si>
    <t>range.AVSC3 losslG,limit-lossyA,ra.QQdog_vox15</t>
  </si>
  <si>
    <t>range.AVSC3 losslG,limit-lossyA,ra.Truck_vox15</t>
  </si>
  <si>
    <t>range.AVSC3 losslG,limit-lossyA,ra.livox_01_all</t>
  </si>
  <si>
    <t>range.AVSC3 losslG,limit-lossyA,ra.livox_02_all</t>
  </si>
  <si>
    <t>range.AVSC3 losslG,limit-lossyA,ra.basketball_player_vox11</t>
  </si>
  <si>
    <t>range.AVSC3 losslG,limit-lossyA,ra.dancer_player_vox11</t>
  </si>
  <si>
    <t>range.AVSC3 losslG,limit-lossyA,ra.exercise_vox11</t>
  </si>
  <si>
    <t>range.AVSC3 losslG,limit-lossyA,ra.model_vox11</t>
  </si>
  <si>
    <t>range.AVSC2 losslG,lossyA,ra.stanford_area_2_vox20</t>
  </si>
  <si>
    <t>range.AVSC2 losslG,lossyA,ra.stanford_area_4_vox20</t>
  </si>
  <si>
    <t>range.AVSC2 losslG,lossyA,ra.Church_vox16</t>
  </si>
  <si>
    <t>range.AVSC2 losslG,lossyA,ra.Courthouse_vox16</t>
  </si>
  <si>
    <t>range.AVSC2 losslG,lossyA,ra.Ignatius_vox11</t>
  </si>
  <si>
    <t>range.AVSC2 losslG,lossyA,ra.QQdog_vox15</t>
  </si>
  <si>
    <t>range.AVSC2 losslG,lossyA,ra.Truck_vox15</t>
  </si>
  <si>
    <t>range.AVSC2 losslG,lossyA,ra.livox_01_all</t>
  </si>
  <si>
    <t>range.AVSC2 losslG,lossyA,ra.livox_02_all</t>
  </si>
  <si>
    <t>range.AVSC2 losslG,lossyA,ra.basketball_player_vox11</t>
  </si>
  <si>
    <t>range.AVSC2 losslG,lossyA,ra.dancer_player_vox11</t>
  </si>
  <si>
    <t>range.AVSC2 losslG,lossyA,ra.exercise_vox11</t>
  </si>
  <si>
    <t>range.AVSC2 losslG,lossyA,ra.model_vox11</t>
  </si>
  <si>
    <t>End-to-End BD‑TotalRate [%]</t>
    <phoneticPr fontId="2" type="noConversion"/>
  </si>
  <si>
    <t>col.AVSC1 limit-lossyG,lossyA,intra.src.attribute-precision</t>
    <phoneticPr fontId="2" type="noConversion"/>
  </si>
  <si>
    <t>col.AVSC1 limit-lossyG,lossyA,intra.A.eqn.ratio</t>
    <phoneticPr fontId="2" type="noConversion"/>
  </si>
  <si>
    <t>col.AVSC1 limit-lossyG,lossyA,intra.A.eqn.ratio.geometry</t>
    <phoneticPr fontId="2" type="noConversion"/>
  </si>
  <si>
    <t>col.AVSC1 limit-lossyG,lossyA,intra.A.eqn.ratio.colour</t>
    <phoneticPr fontId="2" type="noConversion"/>
  </si>
  <si>
    <t>col.AVSC1 limit-lossyG,lossyA,intra.A.eqn.ratio.reflectance</t>
    <phoneticPr fontId="2" type="noConversion"/>
  </si>
  <si>
    <t>col.AVSC2 losslG,lossyA,intra.src.attribute-precision</t>
    <phoneticPr fontId="2" type="noConversion"/>
  </si>
  <si>
    <t>col.AVSC1 limit-lossyG,lossyA,intra.B.eqn.ratio.geometry</t>
    <phoneticPr fontId="2" type="noConversion"/>
  </si>
  <si>
    <t>col.AVSC1 limit-lossyG,lossyA,intra.B.eqn.ratio.colour</t>
    <phoneticPr fontId="2" type="noConversion"/>
  </si>
  <si>
    <t>col.AVSC1 limit-lossyG,lossyA,intra.B.eqn.ratio.reflectance</t>
    <phoneticPr fontId="2" type="noConversion"/>
  </si>
  <si>
    <t>col.AVSC1 limit-lossyG,lossyA,intra.B.eqn.ratio</t>
    <phoneticPr fontId="2" type="noConversion"/>
  </si>
  <si>
    <t>col.AVSC2 losslG,lossyA,intra.A.eqn.ratio.geometry</t>
    <phoneticPr fontId="2" type="noConversion"/>
  </si>
  <si>
    <t>col.AVSC2 losslG,lossyA,intra.A.eqn.ratio.colour</t>
    <phoneticPr fontId="2" type="noConversion"/>
  </si>
  <si>
    <t>col.AVSC2 losslG,lossyA,intra.A.eqn.ratio.reflectance</t>
    <phoneticPr fontId="2" type="noConversion"/>
  </si>
  <si>
    <t>col.AVSC2 losslG,lossyA,intra.A.eqn.ratio</t>
    <phoneticPr fontId="2" type="noConversion"/>
  </si>
  <si>
    <t>col.AVSC2 losslG,lossyA,intra.B.eqn.ratio.geometry</t>
    <phoneticPr fontId="2" type="noConversion"/>
  </si>
  <si>
    <t>col.AVSC2 losslG,lossyA,intra.B.eqn.ratio.colour</t>
    <phoneticPr fontId="2" type="noConversion"/>
  </si>
  <si>
    <t>col.AVSC2 losslG,lossyA,intra.B.eqn.ratio.reflectance</t>
    <phoneticPr fontId="2" type="noConversion"/>
  </si>
  <si>
    <t>col.AVSC2 losslG,lossyA,intra.B.eqn.ratio</t>
    <phoneticPr fontId="2" type="noConversion"/>
  </si>
  <si>
    <t>col.AVSC3 losslG,limit-lossyA,intra.A.eqn.ratio.geometry</t>
    <phoneticPr fontId="2" type="noConversion"/>
  </si>
  <si>
    <t>col.AVSC3 losslG,limit-lossyA,intra.A.eqn.ratio.colour</t>
    <phoneticPr fontId="2" type="noConversion"/>
  </si>
  <si>
    <t>col.AVSC3 losslG,limit-lossyA,intra.A.eqn.ratio.reflectance</t>
    <phoneticPr fontId="2" type="noConversion"/>
  </si>
  <si>
    <t>col.AVSC3 losslG,limit-lossyA,intra.A.eqn.ratio</t>
    <phoneticPr fontId="2" type="noConversion"/>
  </si>
  <si>
    <t>col.AVSC3 losslG,limit-lossyA,intra.B.eqn.ratio</t>
    <phoneticPr fontId="2" type="noConversion"/>
  </si>
  <si>
    <t>col.AVSC3 losslG,limit-lossyA,intra.B.eqn.ratio.geometry</t>
    <phoneticPr fontId="2" type="noConversion"/>
  </si>
  <si>
    <t>col.AVSC3 losslG,limit-lossyA,intra.B.eqn.ratio.colour</t>
    <phoneticPr fontId="2" type="noConversion"/>
  </si>
  <si>
    <t>col.AVSC3 losslG,limit-lossyA,intra.B.eqn.ratio.reflectance</t>
    <phoneticPr fontId="2" type="noConversion"/>
  </si>
  <si>
    <t>col.AVSC3 losslG,limit-lossyA,intra.src.attribute-precision</t>
    <phoneticPr fontId="2" type="noConversion"/>
  </si>
  <si>
    <t>col.AVSC4 losslG,losslA,intra.src.attribute-precision</t>
    <phoneticPr fontId="2" type="noConversion"/>
  </si>
  <si>
    <t>col.AVSC4 losslG,losslA,intra.A.eqn.ratio</t>
    <phoneticPr fontId="2" type="noConversion"/>
  </si>
  <si>
    <t>col.AVSC4 losslG,losslA,intra.A.eqn.ratio.geometry</t>
    <phoneticPr fontId="2" type="noConversion"/>
  </si>
  <si>
    <t>col.AVSC4 losslG,losslA,intra.A.eqn.ratio.colour</t>
    <phoneticPr fontId="2" type="noConversion"/>
  </si>
  <si>
    <t>col.AVSC4 losslG,losslA,intra.A.eqn.ratio.reflectance</t>
    <phoneticPr fontId="2" type="noConversion"/>
  </si>
  <si>
    <t>col.AVSC4 losslG,losslA,intra.B.eqn.ratio</t>
    <phoneticPr fontId="2" type="noConversion"/>
  </si>
  <si>
    <t>col.AVSC4 losslG,losslA,intra.B.eqn.ratio.geometry</t>
    <phoneticPr fontId="2" type="noConversion"/>
  </si>
  <si>
    <t>col.AVSC4 losslG,losslA,intra.B.eqn.ratio.colour</t>
    <phoneticPr fontId="2" type="noConversion"/>
  </si>
  <si>
    <t>col.AVSC4 losslG,losslA,intra.B.eqn.ratio.reflectance</t>
    <phoneticPr fontId="2" type="noConversion"/>
  </si>
  <si>
    <t>range.AVSC4 losslG,losslA,intra.basketball_player_vox11</t>
    <phoneticPr fontId="2" type="noConversion"/>
  </si>
  <si>
    <t>eqn.ratio.colour</t>
    <phoneticPr fontId="2" type="noConversion"/>
  </si>
  <si>
    <t>eqn.ratio.geometry</t>
    <phoneticPr fontId="2" type="noConversion"/>
  </si>
  <si>
    <t>eqn.ratio</t>
    <phoneticPr fontId="2" type="noConversion"/>
  </si>
  <si>
    <t>eqn.ratio.reflectance</t>
    <phoneticPr fontId="2" type="noConversion"/>
  </si>
  <si>
    <t>eqn.ratio</t>
    <phoneticPr fontId="2" type="noConversion"/>
  </si>
  <si>
    <t>col.AVSC1 limit-lossyG,lossyA,ra.src.attribute-precision</t>
  </si>
  <si>
    <t>col.AVSC1 limit-lossyG,lossyA,ra.A.eqn.ratio</t>
  </si>
  <si>
    <t>col.AVSC1 limit-lossyG,lossyA,ra.A.eqn.ratio.geometry</t>
  </si>
  <si>
    <t>col.AVSC1 limit-lossyG,lossyA,ra.A.eqn.ratio.colour</t>
  </si>
  <si>
    <t>col.AVSC1 limit-lossyG,lossyA,ra.A.eqn.ratio.reflectance</t>
  </si>
  <si>
    <t>col.AVSC1 limit-lossyG,lossyA,ra.A.dec.d1-psnr</t>
  </si>
  <si>
    <t>col.AVSC1 limit-lossyG,lossyA,ra.A.dec.d1-hpsnr</t>
  </si>
  <si>
    <t>col.AVSC1 limit-lossyG,lossyA,ra.B.eqn.ratio</t>
  </si>
  <si>
    <t>col.AVSC1 limit-lossyG,lossyA,ra.B.eqn.ratio.geometry</t>
  </si>
  <si>
    <t>col.AVSC1 limit-lossyG,lossyA,ra.B.eqn.ratio.colour</t>
  </si>
  <si>
    <t>col.AVSC1 limit-lossyG,lossyA,ra.B.eqn.ratio.reflectance</t>
  </si>
  <si>
    <t>col.AVSC1 limit-lossyG,lossyA,ra.B.dec.d1-psnr</t>
  </si>
  <si>
    <t>col.AVSC1 limit-lossyG,lossyA,ra.B.dec.d1-hpsnr</t>
  </si>
  <si>
    <t>col.AVSC1 limit-lossyG,lossyA,ra.eqn.ab.bdrate-d1-hgeomrate</t>
  </si>
  <si>
    <t>col.AVSC1 limit-lossyG,lossyA,ra.eqn.ab.bdrate-d1-h</t>
  </si>
  <si>
    <t>name.A.AVSC1 limit-lossyG,lossyA,ra</t>
  </si>
  <si>
    <t>'AVSC1 limit-lossyG,lossyA,ra'!$J$1</t>
  </si>
  <si>
    <t>name.B.AVSC1 limit-lossyG,lossyA,ra</t>
  </si>
  <si>
    <t>'AVSC1 limit-lossyG,lossyA,ra'!$AK$1</t>
  </si>
  <si>
    <t>range.AVSC1 limit-lossyG,lossyA,ra.bridge_1mm</t>
  </si>
  <si>
    <t>'AVSC1 limit-lossyG,lossyA,ra'!$A$5:$CC$10</t>
  </si>
  <si>
    <t>range.AVSC1 limit-lossyG,lossyA,ra.double_T_section_1mm</t>
  </si>
  <si>
    <t>'AVSC1 limit-lossyG,lossyA,ra'!$A$11:$CC$16</t>
  </si>
  <si>
    <t>range.AVSC1 limit-lossyG,lossyA,ra.intersection1_1mm</t>
  </si>
  <si>
    <t>'AVSC1 limit-lossyG,lossyA,ra'!$A$17:$CC$22</t>
  </si>
  <si>
    <t>range.AVSC1 limit-lossyG,lossyA,ra.intersection2_1mm</t>
  </si>
  <si>
    <t>'AVSC1 limit-lossyG,lossyA,ra'!$A$23:$CC$28</t>
  </si>
  <si>
    <t>range.AVSC1 limit-lossyG,lossyA,ra.straight_road_1mm</t>
  </si>
  <si>
    <t>'AVSC1 limit-lossyG,lossyA,ra'!$A$29:$CC$34</t>
  </si>
  <si>
    <t>range.AVSC1 limit-lossyG,lossyA,ra.T_section_1mm</t>
  </si>
  <si>
    <t>'AVSC1 limit-lossyG,lossyA,ra'!$A$35:$CC$40</t>
  </si>
  <si>
    <t>'AVSC1 limit-lossyG,lossyA,ra'!$A$41:$CC$46</t>
  </si>
  <si>
    <t>'AVSC1 limit-lossyG,lossyA,ra'!$A$47:$CC$52</t>
  </si>
  <si>
    <t>'AVSC1 limit-lossyG,lossyA,ra'!$A$53:$CC$58</t>
  </si>
  <si>
    <t>'AVSC1 limit-lossyG,lossyA,ra'!$A$59:$CC$64</t>
  </si>
  <si>
    <t>'AVSC1 limit-lossyG,lossyA,ra'!$A$65:$CC$70</t>
  </si>
  <si>
    <t>'AVSC1 limit-lossyG,lossyA,ra'!$A$71:$CC$76</t>
  </si>
  <si>
    <t>'AVSC1 limit-lossyG,lossyA,ra'!$A$77:$CC$82</t>
  </si>
  <si>
    <t>'AVSC1 limit-lossyG,lossyA,ra'!$A$83:$CC$88</t>
  </si>
  <si>
    <t>'AVSC1 limit-lossyG,lossyA,ra'!$A$89:$CC$94</t>
  </si>
  <si>
    <t>'AVSC1 limit-lossyG,lossyA,ra'!$A$95:$CC$100</t>
  </si>
  <si>
    <t>'AVSC1 limit-lossyG,lossyA,ra'!$A$101:$CC$106</t>
  </si>
  <si>
    <t>'AVSC1 limit-lossyG,lossyA,ra'!$A$107:$CC$112</t>
  </si>
  <si>
    <t>'AVSC1 limit-lossyG,lossyA,ra'!$A$113:$CC$118</t>
  </si>
  <si>
    <t>'AVSC1 limit-lossyG,lossyA,ra'!$A$119:$CC$124</t>
  </si>
  <si>
    <t>'AVSC1 limit-lossyG,lossyA,ra'!$A$125:$CC$130</t>
  </si>
  <si>
    <t>'AVSC1 limit-lossyG,lossyA,ra'!$A$131:$CC$136</t>
  </si>
  <si>
    <t>col.AVSC2 losslG,lossyA,ra.src.attribute-precision</t>
  </si>
  <si>
    <t>col.AVSC2 losslG,lossyA,ra.A.eqn.ratio</t>
  </si>
  <si>
    <t>col.AVSC2 losslG,lossyA,ra.A.eqn.ratio.geometry</t>
  </si>
  <si>
    <t>col.AVSC2 losslG,lossyA,ra.A.eqn.ratio.colour</t>
  </si>
  <si>
    <t>col.AVSC2 losslG,lossyA,ra.A.eqn.ratio.reflectance</t>
  </si>
  <si>
    <t>col.AVSC2 losslG,lossyA,ra.B.eqn.ratio</t>
  </si>
  <si>
    <t>col.AVSC2 losslG,lossyA,ra.B.eqn.ratio.geometry</t>
  </si>
  <si>
    <t>col.AVSC2 losslG,lossyA,ra.B.eqn.ratio.colour</t>
  </si>
  <si>
    <t>col.AVSC2 losslG,lossyA,ra.B.eqn.ratio.reflectance</t>
  </si>
  <si>
    <t>'AVSC2 losslG,lossyA,ra'!$J$1</t>
  </si>
  <si>
    <t>'AVSC2 losslG,lossyA,ra'!$AI$1</t>
  </si>
  <si>
    <t>range.AVSC2 losslG,lossyA,ra.bridge_1mm</t>
  </si>
  <si>
    <t>'AVSC2 losslG,lossyA,ra'!$A$5:$BU$10</t>
  </si>
  <si>
    <t>range.AVSC2 losslG,lossyA,ra.double_T_section_1mm</t>
  </si>
  <si>
    <t>'AVSC2 losslG,lossyA,ra'!$A$11:$BU$16</t>
  </si>
  <si>
    <t>range.AVSC2 losslG,lossyA,ra.intersection1_1mm</t>
  </si>
  <si>
    <t>'AVSC2 losslG,lossyA,ra'!$A$17:$BU$22</t>
  </si>
  <si>
    <t>range.AVSC2 losslG,lossyA,ra.intersection2_1mm</t>
  </si>
  <si>
    <t>'AVSC2 losslG,lossyA,ra'!$A$23:$BU$28</t>
  </si>
  <si>
    <t>range.AVSC2 losslG,lossyA,ra.straight_road_1mm</t>
  </si>
  <si>
    <t>'AVSC2 losslG,lossyA,ra'!$A$29:$BU$34</t>
  </si>
  <si>
    <t>range.AVSC2 losslG,lossyA,ra.T_section_1mm</t>
  </si>
  <si>
    <t>'AVSC2 losslG,lossyA,ra'!$A$35:$BU$40</t>
  </si>
  <si>
    <t>'AVSC2 losslG,lossyA,ra'!$A$41:$BU$46</t>
  </si>
  <si>
    <t>'AVSC2 losslG,lossyA,ra'!$A$47:$BU$52</t>
  </si>
  <si>
    <t>'AVSC2 losslG,lossyA,ra'!$A$53:$BU$58</t>
  </si>
  <si>
    <t>'AVSC2 losslG,lossyA,ra'!$A$59:$BU$64</t>
  </si>
  <si>
    <t>'AVSC2 losslG,lossyA,ra'!$A$65:$BU$70</t>
  </si>
  <si>
    <t>'AVSC2 losslG,lossyA,ra'!$A$71:$BU$76</t>
  </si>
  <si>
    <t>'AVSC2 losslG,lossyA,ra'!$A$77:$BU$82</t>
  </si>
  <si>
    <t>'AVSC2 losslG,lossyA,ra'!$A$83:$BU$88</t>
  </si>
  <si>
    <t>'AVSC2 losslG,lossyA,ra'!$A$89:$BU$94</t>
  </si>
  <si>
    <t>'AVSC2 losslG,lossyA,ra'!$A$95:$BU$100</t>
  </si>
  <si>
    <t>'AVSC2 losslG,lossyA,ra'!$A$101:$BU$106</t>
  </si>
  <si>
    <t>'AVSC2 losslG,lossyA,ra'!$A$107:$BU$112</t>
  </si>
  <si>
    <t>'AVSC2 losslG,lossyA,ra'!$A$113:$BU$118</t>
  </si>
  <si>
    <t>'AVSC2 losslG,lossyA,ra'!$A$119:$BU$124</t>
  </si>
  <si>
    <t>'AVSC2 losslG,lossyA,ra'!$A$125:$BU$130</t>
  </si>
  <si>
    <t>'AVSC2 losslG,lossyA,ra'!$A$131:$BU$136</t>
  </si>
  <si>
    <t>col.AVSC3 losslG,limit-lossyA,ra.src.attribute-precision</t>
  </si>
  <si>
    <t>col.AVSC3 losslG,limit-lossyA,ra.A.eqn.ratio</t>
  </si>
  <si>
    <t>col.AVSC3 losslG,limit-lossyA,ra.A.eqn.ratio.geometry</t>
  </si>
  <si>
    <t>col.AVSC3 losslG,limit-lossyA,ra.A.eqn.ratio.colour</t>
  </si>
  <si>
    <t>col.AVSC3 losslG,limit-lossyA,ra.A.eqn.ratio.reflectance</t>
  </si>
  <si>
    <t>col.AVSC3 losslG,limit-lossyA,ra.B.eqn.ratio</t>
  </si>
  <si>
    <t>col.AVSC3 losslG,limit-lossyA,ra.B.eqn.ratio.geometry</t>
  </si>
  <si>
    <t>col.AVSC3 losslG,limit-lossyA,ra.B.eqn.ratio.colour</t>
  </si>
  <si>
    <t>col.AVSC3 losslG,limit-lossyA,ra.B.eqn.ratio.reflectance</t>
  </si>
  <si>
    <t>'AVSC3 losslG,limit-lossyA,ra'!$J$1</t>
  </si>
  <si>
    <t>'AVSC3 losslG,limit-lossyA,ra'!$AM$1</t>
  </si>
  <si>
    <t>range.AVSC3 losslG,limit-lossyA,ra.bridge_1mm</t>
  </si>
  <si>
    <t>'AVSC3 losslG,limit-lossyA,ra'!$A$5:$CM$9</t>
  </si>
  <si>
    <t>range.AVSC3 losslG,limit-lossyA,ra.double_T_section_1mm</t>
  </si>
  <si>
    <t>'AVSC3 losslG,limit-lossyA,ra'!$A$10:$CM$14</t>
  </si>
  <si>
    <t>range.AVSC3 losslG,limit-lossyA,ra.intersection1_1mm</t>
  </si>
  <si>
    <t>'AVSC3 losslG,limit-lossyA,ra'!$A$15:$CM$19</t>
  </si>
  <si>
    <t>range.AVSC3 losslG,limit-lossyA,ra.intersection2_1mm</t>
  </si>
  <si>
    <t>'AVSC3 losslG,limit-lossyA,ra'!$A$20:$CM$24</t>
  </si>
  <si>
    <t>range.AVSC3 losslG,limit-lossyA,ra.straight_road_1mm</t>
  </si>
  <si>
    <t>'AVSC3 losslG,limit-lossyA,ra'!$A$25:$CM$29</t>
  </si>
  <si>
    <t>range.AVSC3 losslG,limit-lossyA,ra.T_section_1mm</t>
  </si>
  <si>
    <t>'AVSC3 losslG,limit-lossyA,ra'!$A$30:$CM$34</t>
  </si>
  <si>
    <t>'AVSC3 losslG,limit-lossyA,ra'!$A$35:$CM$39</t>
  </si>
  <si>
    <t>'AVSC3 losslG,limit-lossyA,ra'!$A$40:$CM$44</t>
  </si>
  <si>
    <t>'AVSC3 losslG,limit-lossyA,ra'!$A$45:$CM$49</t>
  </si>
  <si>
    <t>'AVSC3 losslG,limit-lossyA,ra'!$A$50:$CM$54</t>
  </si>
  <si>
    <t>'AVSC3 losslG,limit-lossyA,ra'!$A$55:$CM$59</t>
  </si>
  <si>
    <t>'AVSC3 losslG,limit-lossyA,ra'!$A$60:$CM$64</t>
  </si>
  <si>
    <t>'AVSC3 losslG,limit-lossyA,ra'!$A$65:$CM$69</t>
  </si>
  <si>
    <t>'AVSC3 losslG,limit-lossyA,ra'!$A$70:$CM$74</t>
  </si>
  <si>
    <t>'AVSC3 losslG,limit-lossyA,ra'!$A$75:$CM$79</t>
  </si>
  <si>
    <t>'AVSC3 losslG,limit-lossyA,ra'!$A$80:$CM$84</t>
  </si>
  <si>
    <t>'AVSC3 losslG,limit-lossyA,ra'!$A$85:$CM$89</t>
  </si>
  <si>
    <t>'AVSC3 losslG,limit-lossyA,ra'!$A$90:$CM$94</t>
  </si>
  <si>
    <t>'AVSC3 losslG,limit-lossyA,ra'!$A$95:$CM$99</t>
  </si>
  <si>
    <t>'AVSC3 losslG,limit-lossyA,ra'!$A$100:$CM$104</t>
  </si>
  <si>
    <t>'AVSC3 losslG,limit-lossyA,ra'!$A$105:$CM$109</t>
  </si>
  <si>
    <t>'AVSC3 losslG,limit-lossyA,ra'!$A$110:$CM$114</t>
  </si>
  <si>
    <t>col.AVSC4 losslG,losslA,ra.src.attribute-precision</t>
  </si>
  <si>
    <t>col.AVSC4 losslG,losslA,ra.A.eqn.ratio</t>
  </si>
  <si>
    <t>col.AVSC4 losslG,losslA,ra.A.eqn.ratio.geometry</t>
  </si>
  <si>
    <t>col.AVSC4 losslG,losslA,ra.A.eqn.ratio.colour</t>
  </si>
  <si>
    <t>col.AVSC4 losslG,losslA,ra.A.eqn.ratio.reflectance</t>
  </si>
  <si>
    <t>col.AVSC4 losslG,losslA,ra.B.eqn.ratio</t>
  </si>
  <si>
    <t>col.AVSC4 losslG,losslA,ra.B.eqn.ratio.geometry</t>
  </si>
  <si>
    <t>col.AVSC4 losslG,losslA,ra.B.eqn.ratio.colour</t>
  </si>
  <si>
    <t>col.AVSC4 losslG,losslA,ra.B.eqn.ratio.reflectance</t>
  </si>
  <si>
    <t>'AVSC4 losslG,losslA,ra'!$I$1</t>
  </si>
  <si>
    <t>'AVSC4 losslG,losslA,ra'!$AD$1</t>
  </si>
  <si>
    <t>range.AVSC4 losslG,losslA,ra.bridge_1mm</t>
  </si>
  <si>
    <t>'AVSC4 losslG,losslA,ra'!$A$5:$BF$5</t>
  </si>
  <si>
    <t>range.AVSC4 losslG,losslA,ra.double_T_section_1mm</t>
  </si>
  <si>
    <t>'AVSC4 losslG,losslA,ra'!$A$6:$BF$6</t>
  </si>
  <si>
    <t>range.AVSC4 losslG,losslA,ra.intersection1_1mm</t>
  </si>
  <si>
    <t>'AVSC4 losslG,losslA,ra'!$A$7:$BF$7</t>
  </si>
  <si>
    <t>range.AVSC4 losslG,losslA,ra.intersection2_1mm</t>
  </si>
  <si>
    <t>'AVSC4 losslG,losslA,ra'!$A$8:$BF$8</t>
  </si>
  <si>
    <t>range.AVSC4 losslG,losslA,ra.straight_road_1mm</t>
  </si>
  <si>
    <t>'AVSC4 losslG,losslA,ra'!$A$9:$BF$9</t>
  </si>
  <si>
    <t>range.AVSC4 losslG,losslA,ra.T_section_1mm</t>
  </si>
  <si>
    <t>'AVSC4 losslG,losslA,ra'!$A$10:$BF$10</t>
  </si>
  <si>
    <t>'AVSC4 losslG,losslA,ra'!$A$11:$BF$11</t>
  </si>
  <si>
    <t>'AVSC4 losslG,losslA,ra'!$A$12:$BF$12</t>
  </si>
  <si>
    <t>'AVSC4 losslG,losslA,ra'!$A$13:$BF$13</t>
  </si>
  <si>
    <t>'AVSC4 losslG,losslA,ra'!$A$14:$BF$14</t>
  </si>
  <si>
    <t>'AVSC4 losslG,losslA,ra'!$A$15:$BF$15</t>
  </si>
  <si>
    <t>'AVSC4 losslG,losslA,ra'!$A$16:$BF$16</t>
  </si>
  <si>
    <t>'AVSC4 losslG,losslA,ra'!$A$17:$BF$17</t>
  </si>
  <si>
    <t>'AVSC4 losslG,losslA,ra'!$A$18:$BF$18</t>
  </si>
  <si>
    <t>'AVSC4 losslG,losslA,ra'!$A$19:$BF$19</t>
  </si>
  <si>
    <t>'AVSC4 losslG,losslA,ra'!$A$20:$BF$20</t>
  </si>
  <si>
    <t>'AVSC4 losslG,losslA,ra'!$A$21:$BF$21</t>
  </si>
  <si>
    <t>'AVSC4 losslG,losslA,ra'!$A$22:$BF$22</t>
  </si>
  <si>
    <t>'AVSC4 losslG,losslA,ra'!$A$23:$BF$23</t>
  </si>
  <si>
    <t>'AVSC4 losslG,losslA,ra'!$A$24:$BF$24</t>
  </si>
  <si>
    <t>'AVSC4 losslG,losslA,ra'!$A$25:$BF$25</t>
  </si>
  <si>
    <t>'AVSC4 losslG,losslA,ra'!$A$26:$BF$26</t>
  </si>
  <si>
    <t>col.AVSC1 limit-lossyG,lossyA,intra.src.geometry-precision</t>
    <phoneticPr fontId="2" type="noConversion"/>
  </si>
  <si>
    <t>col.AVSC1 limit-lossyG,lossyA,intra.A.eqn.bpp.reflectance</t>
    <phoneticPr fontId="2" type="noConversion"/>
  </si>
  <si>
    <t>col.AVSC3 limit-lossyG,lossyA,intra.src.reflectance-precision</t>
    <phoneticPr fontId="2" type="noConversion"/>
  </si>
  <si>
    <t>dec.enc.match</t>
    <phoneticPr fontId="2" type="noConversion"/>
  </si>
  <si>
    <t>col.AVSC2 losslG,lossyA,intra.A.eqn.bpp.reflectance</t>
    <phoneticPr fontId="2" type="noConversion"/>
  </si>
  <si>
    <t>col.AVSC2 losslG,lossyA,intra.src.reflectance-precision</t>
    <phoneticPr fontId="2" type="noConversion"/>
  </si>
  <si>
    <t>col.AVSC2 limit-lossyG,lossyA,intra.src.colour-precision</t>
    <phoneticPr fontId="2" type="noConversion"/>
  </si>
  <si>
    <t>col.AVSC2 losslG,lossyA,intra.src.colour-precision</t>
    <phoneticPr fontId="2" type="noConversion"/>
  </si>
  <si>
    <t>col.AVSC3 losslG,limit-lossyA,intra.src.colour-precision</t>
    <phoneticPr fontId="2" type="noConversion"/>
  </si>
  <si>
    <t>col.AVSC4 losslG,losslA,intra.src.colour-precision</t>
    <phoneticPr fontId="2" type="noConversion"/>
  </si>
  <si>
    <t>col.AVSC4 losslG,losslA,intra.src.reflectance-precision</t>
    <phoneticPr fontId="2" type="noConversion"/>
  </si>
  <si>
    <t>range.AVSC1 limit-lossyG,lossyA,intra.pcl_room_vox14</t>
    <phoneticPr fontId="2" type="noConversion"/>
  </si>
  <si>
    <t>range.AVSC1 limit-lossyG,lossyA,intra.pcl_hawk_vox11</t>
    <phoneticPr fontId="2" type="noConversion"/>
  </si>
  <si>
    <t>range.AVSC1 limit-lossyG,lossyA,intra.pcl_sofa_vox10</t>
    <phoneticPr fontId="2" type="noConversion"/>
  </si>
  <si>
    <t>range.AVSC1 limit-lossyG,lossyA,intra.pcl_papi_vox11</t>
    <phoneticPr fontId="2" type="noConversion"/>
  </si>
  <si>
    <t>range.AVSC2 losslG,lossyA,intra.pcl_room_vox14</t>
    <phoneticPr fontId="2" type="noConversion"/>
  </si>
  <si>
    <t>range.AVSC2 losslG,lossyA,intra.pcl_hawk_vox11</t>
    <phoneticPr fontId="2" type="noConversion"/>
  </si>
  <si>
    <t>range.AVSC2 losslG,lossyA,intra.pcl_sofa_vox10</t>
    <phoneticPr fontId="2" type="noConversion"/>
  </si>
  <si>
    <t>range.AVSC2 losslG,lossyA,intra.pcl_papi_vox11</t>
    <phoneticPr fontId="2" type="noConversion"/>
  </si>
  <si>
    <t>range.AVSC3 losslG,limit-lossyA,intra.pcl_room_vox14</t>
    <phoneticPr fontId="2" type="noConversion"/>
  </si>
  <si>
    <t>range.AVSC3 losslG,limit-lossyA,intra.pcl_hawk_vox11</t>
    <phoneticPr fontId="2" type="noConversion"/>
  </si>
  <si>
    <t>range.AVSC3 losslG,limit-lossyA,intra.pcl_sofa_vox10</t>
    <phoneticPr fontId="2" type="noConversion"/>
  </si>
  <si>
    <t>range.AVSC3 losslG,limit-lossyA,intra.pcl_papi_vox11</t>
    <phoneticPr fontId="2" type="noConversion"/>
  </si>
  <si>
    <t>range.AVSC4 losslG,losslA,intra.pcl_room_vox14</t>
    <phoneticPr fontId="2" type="noConversion"/>
  </si>
  <si>
    <t>range.AVSC4 losslG,losslA,intra.pcl_hawk_vox11</t>
    <phoneticPr fontId="2" type="noConversion"/>
  </si>
  <si>
    <t>range.AVSC4 losslG,losslA,intra.pcl_sofa_vox10</t>
    <phoneticPr fontId="2" type="noConversion"/>
  </si>
  <si>
    <t>range.AVSC4 losslG,losslA,intra.pcl_papi_vox11</t>
    <phoneticPr fontId="2" type="noConversion"/>
  </si>
  <si>
    <t>Geom Encoder runtime [s]</t>
    <phoneticPr fontId="2" type="noConversion"/>
  </si>
  <si>
    <t>Geom Decoder runtime [s]</t>
    <phoneticPr fontId="2" type="noConversion"/>
  </si>
  <si>
    <t>A.geo.enc.utime</t>
    <phoneticPr fontId="2" type="noConversion"/>
  </si>
  <si>
    <t>A.geo.dec.utime</t>
    <phoneticPr fontId="2" type="noConversion"/>
  </si>
  <si>
    <t>A.col.enc.utime</t>
    <phoneticPr fontId="2" type="noConversion"/>
  </si>
  <si>
    <t>A.col.dec.utime</t>
    <phoneticPr fontId="2" type="noConversion"/>
  </si>
  <si>
    <t>B.geo.enc.utime</t>
    <phoneticPr fontId="2" type="noConversion"/>
  </si>
  <si>
    <t>B.geo.dec.utime</t>
    <phoneticPr fontId="2" type="noConversion"/>
  </si>
  <si>
    <t>B.ref.enc.utime</t>
    <phoneticPr fontId="2" type="noConversion"/>
  </si>
  <si>
    <t>B.ref.dec.utime</t>
    <phoneticPr fontId="2" type="noConversion"/>
  </si>
  <si>
    <t>col.AVSC1 limit-lossyG,lossyA,intra.A.geo.enc.utime</t>
    <phoneticPr fontId="2" type="noConversion"/>
  </si>
  <si>
    <t>col.AVSC1 limit-lossyG,lossyA,intra.A.geo.dec.utime</t>
    <phoneticPr fontId="2" type="noConversion"/>
  </si>
  <si>
    <t>col.AVSC1 limit-lossyG,lossyA,intra.A.col.enc.utime</t>
    <phoneticPr fontId="2" type="noConversion"/>
  </si>
  <si>
    <t>col.AVSC1 limit-lossyG,lossyA,intra.A.col.dec.utime</t>
    <phoneticPr fontId="2" type="noConversion"/>
  </si>
  <si>
    <t>col.AVSC1 limit-lossyG,lossyA,intra.A.ref.enc.utime</t>
    <phoneticPr fontId="2" type="noConversion"/>
  </si>
  <si>
    <t>col.AVSC1 limit-lossyG,lossyA,intra.A.ref.dec.utime</t>
    <phoneticPr fontId="2" type="noConversion"/>
  </si>
  <si>
    <t>col.AVSC1 limit-lossyG,lossyA,intra.B.geo.enc.utime</t>
    <phoneticPr fontId="2" type="noConversion"/>
  </si>
  <si>
    <t>col.AVSC1 limit-lossyG,lossyA,intra.B.geo.dec.utime</t>
    <phoneticPr fontId="2" type="noConversion"/>
  </si>
  <si>
    <t>col.AVSC1 limit-lossyG,lossyA,intra.B.col.enc.utime</t>
    <phoneticPr fontId="2" type="noConversion"/>
  </si>
  <si>
    <t>col.AVSC1 limit-lossyG,lossyA,intra.B.col.dec.utime</t>
    <phoneticPr fontId="2" type="noConversion"/>
  </si>
  <si>
    <t>col.AVSC1 limit-lossyG,lossyA,intra.B.ref.enc.utime</t>
    <phoneticPr fontId="2" type="noConversion"/>
  </si>
  <si>
    <t>col.AVSC1 limit-lossyG,lossyA,intra.B.ref.dec.utime</t>
    <phoneticPr fontId="2" type="noConversion"/>
  </si>
  <si>
    <t>'AVSC1 limit-lossyG,lossyA,intra'!$AS$1</t>
    <phoneticPr fontId="2" type="noConversion"/>
  </si>
  <si>
    <t>'AVSC1 limit-lossyG,lossyA,intra'!$L$1</t>
    <phoneticPr fontId="2" type="noConversion"/>
  </si>
  <si>
    <t>'AVSC1 limit-lossyG,lossyA,intra'!$A$5:$CY$10</t>
    <phoneticPr fontId="2" type="noConversion"/>
  </si>
  <si>
    <t>'AVSC1 limit-lossyG,lossyA,intra'!$A$11:$CY$16</t>
    <phoneticPr fontId="2" type="noConversion"/>
  </si>
  <si>
    <t>'AVSC1 limit-lossyG,lossyA,intra'!$A$17:$CY$22</t>
    <phoneticPr fontId="2" type="noConversion"/>
  </si>
  <si>
    <t>'AVSC1 limit-lossyG,lossyA,intra'!$A$23:$CY$28</t>
  </si>
  <si>
    <t>'AVSC1 limit-lossyG,lossyA,intra'!$A$29:$CY$34</t>
  </si>
  <si>
    <t>'AVSC1 limit-lossyG,lossyA,intra'!$A$35:$CY$40</t>
  </si>
  <si>
    <t>'AVSC1 limit-lossyG,lossyA,intra'!$A$41:$CY$46</t>
  </si>
  <si>
    <t>'AVSC1 limit-lossyG,lossyA,intra'!$A$47:$CY$52</t>
  </si>
  <si>
    <t>'AVSC1 limit-lossyG,lossyA,intra'!$A$53:$CY$58</t>
  </si>
  <si>
    <t>'AVSC1 limit-lossyG,lossyA,intra'!$A$59:$CY$64</t>
  </si>
  <si>
    <t>'AVSC1 limit-lossyG,lossyA,intra'!$A$65:$CY$70</t>
  </si>
  <si>
    <t>'AVSC1 limit-lossyG,lossyA,intra'!$A$71:$CY$76</t>
  </si>
  <si>
    <t>'AVSC1 limit-lossyG,lossyA,intra'!$A$77:$CY$82</t>
  </si>
  <si>
    <t>'AVSC1 limit-lossyG,lossyA,intra'!$A$83:$CY$88</t>
  </si>
  <si>
    <t>'AVSC1 limit-lossyG,lossyA,intra'!$A$89:$CY$94</t>
  </si>
  <si>
    <t>'AVSC1 limit-lossyG,lossyA,intra'!$A$95:$CY$100</t>
  </si>
  <si>
    <t>'AVSC1 limit-lossyG,lossyA,intra'!$A$101:$CY$106</t>
  </si>
  <si>
    <t>'AVSC1 limit-lossyG,lossyA,intra'!$A$107:$CY$112</t>
  </si>
  <si>
    <t>'AVSC1 limit-lossyG,lossyA,intra'!$A$113:$CY$118</t>
  </si>
  <si>
    <t>'AVSC1 limit-lossyG,lossyA,intra'!$A$119:$CY$124</t>
  </si>
  <si>
    <t>'AVSC1 limit-lossyG,lossyA,intra'!$A$125:$CY$130</t>
  </si>
  <si>
    <t>'AVSC1 limit-lossyG,lossyA,intra'!$A$131:$CY$136</t>
  </si>
  <si>
    <t>'AVSC1 limit-lossyG,lossyA,intra'!$A$137:$CY$142</t>
  </si>
  <si>
    <t>'AVSC1 limit-lossyG,lossyA,intra'!$A$143:$CY$148</t>
  </si>
  <si>
    <t>'AVSC1 limit-lossyG,lossyA,intra'!$A$149:$CY$154</t>
  </si>
  <si>
    <t>'AVSC1 limit-lossyG,lossyA,intra'!$A$155:$CY$160</t>
  </si>
  <si>
    <t>col.AVSC2 losslG,lossyA,intra.A.geo-enc.utime</t>
    <phoneticPr fontId="2" type="noConversion"/>
  </si>
  <si>
    <t>col.AVSC2 losslG,lossyA,intra.A.geo-dec.utime</t>
    <phoneticPr fontId="2" type="noConversion"/>
  </si>
  <si>
    <t>col.AVSC2 losslG,lossyA,intra.A.col.enc.utime</t>
    <phoneticPr fontId="2" type="noConversion"/>
  </si>
  <si>
    <t>col.AVSC2 losslG,lossyA,intra.A.col.dec.utime</t>
    <phoneticPr fontId="2" type="noConversion"/>
  </si>
  <si>
    <t>col.AVSC2 losslG,lossyA,intra.A.ref.enc.utime</t>
    <phoneticPr fontId="2" type="noConversion"/>
  </si>
  <si>
    <t>col.AVSC2 losslG,lossyA,intra.A.ref.dec.utime</t>
    <phoneticPr fontId="2" type="noConversion"/>
  </si>
  <si>
    <t>col.AVSC2 losslG,lossyA,intra.B.geo-enc.utime</t>
    <phoneticPr fontId="2" type="noConversion"/>
  </si>
  <si>
    <t>col.AVSC2 losslG,lossyA,intra.B.geo-dec.utime</t>
    <phoneticPr fontId="2" type="noConversion"/>
  </si>
  <si>
    <t>col.AVSC2 losslG,lossyA,intra.B.col.enc.utime</t>
    <phoneticPr fontId="2" type="noConversion"/>
  </si>
  <si>
    <t>col.AVSC2 losslG,lossyA,intra.B.col.dec.utime</t>
    <phoneticPr fontId="2" type="noConversion"/>
  </si>
  <si>
    <t>col.AVSC2 losslG,lossyA,intra.B.ref.enc.utime</t>
    <phoneticPr fontId="2" type="noConversion"/>
  </si>
  <si>
    <t>col.AVSC2 losslG,lossyA,intra.B.ref.dec.utime</t>
    <phoneticPr fontId="2" type="noConversion"/>
  </si>
  <si>
    <t>'AVSC2 losslG,lossyA,intra'!$L$1</t>
    <phoneticPr fontId="2" type="noConversion"/>
  </si>
  <si>
    <t>'AVSC2 losslG,lossyA,intra'!$AQ$1</t>
    <phoneticPr fontId="2" type="noConversion"/>
  </si>
  <si>
    <t>'AVSC2 losslG,lossyA,intra'!$A$5:$CQ$10</t>
  </si>
  <si>
    <t>'AVSC2 losslG,lossyA,intra'!$A$11:$CQ$16</t>
  </si>
  <si>
    <t>'AVSC2 losslG,lossyA,intra'!$A$17:$CQ$22</t>
  </si>
  <si>
    <t>'AVSC2 losslG,lossyA,intra'!$A$23:$CQ$28</t>
  </si>
  <si>
    <t>'AVSC2 losslG,lossyA,intra'!$A$29:$CQ$34</t>
  </si>
  <si>
    <t>'AVSC2 losslG,lossyA,intra'!$A$35:$CQ$40</t>
  </si>
  <si>
    <t>'AVSC2 losslG,lossyA,intra'!$A$41:$CQ$46</t>
  </si>
  <si>
    <t>'AVSC2 losslG,lossyA,intra'!$A$47:$CQ$52</t>
  </si>
  <si>
    <t>'AVSC2 losslG,lossyA,intra'!$A$53:$CQ$58</t>
  </si>
  <si>
    <t>'AVSC2 losslG,lossyA,intra'!$A$59:$CQ$64</t>
  </si>
  <si>
    <t>'AVSC2 losslG,lossyA,intra'!$A$65:$CQ$70</t>
  </si>
  <si>
    <t>'AVSC2 losslG,lossyA,intra'!$A$71:$CQ$76</t>
  </si>
  <si>
    <t>'AVSC2 losslG,lossyA,intra'!$A$77:$CQ$82</t>
  </si>
  <si>
    <t>col.AVSC3 losslG,limit-lossyA,intra.A.geo.enc.utime</t>
    <phoneticPr fontId="2" type="noConversion"/>
  </si>
  <si>
    <t>col.AVSC3 losslG,limit-lossyA,intra.A.geo.dec.utime</t>
    <phoneticPr fontId="2" type="noConversion"/>
  </si>
  <si>
    <t>col.AVSC3 losslG,limit-lossyA,intra.A.col.enc.utime</t>
    <phoneticPr fontId="2" type="noConversion"/>
  </si>
  <si>
    <t>col.AVSC3 losslG,limit-lossyA,intra.A.col.dec.utime</t>
    <phoneticPr fontId="2" type="noConversion"/>
  </si>
  <si>
    <t>col.AVSC3 losslG,limit-lossyA,intra.A.ref.enc.utime</t>
    <phoneticPr fontId="2" type="noConversion"/>
  </si>
  <si>
    <t>col.AVSC3 losslG,limit-lossyA,intra.A.ref.dec.utime</t>
    <phoneticPr fontId="2" type="noConversion"/>
  </si>
  <si>
    <t>col.AVSC3 losslG,limit-lossyA,intra.B.geo.enc.utime</t>
    <phoneticPr fontId="2" type="noConversion"/>
  </si>
  <si>
    <t>col.AVSC3 losslG,limit-lossyA,intra.B.geo.dec.utime</t>
    <phoneticPr fontId="2" type="noConversion"/>
  </si>
  <si>
    <t>col.AVSC3 losslG,limit-lossyA,intra.B.col.enc.utime</t>
    <phoneticPr fontId="2" type="noConversion"/>
  </si>
  <si>
    <t>col.AVSC3 losslG,limit-lossyA,intra.B.col.dec.utime</t>
    <phoneticPr fontId="2" type="noConversion"/>
  </si>
  <si>
    <t>col.AVSC3 losslG,limit-lossyA,intra.B.ref.enc.utime</t>
    <phoneticPr fontId="2" type="noConversion"/>
  </si>
  <si>
    <t>col.AVSC3 losslG,limit-lossyA,intra.B.ref.dec.utime</t>
    <phoneticPr fontId="2" type="noConversion"/>
  </si>
  <si>
    <t>col.AVSC3 losslG,limit-lossyA,intra.eqn.ab.ratio-enc-time</t>
    <phoneticPr fontId="2" type="noConversion"/>
  </si>
  <si>
    <t>col.AVSC3 losslG,limit-lossyA,intra.eqn.ab.ratio-dec-time</t>
    <phoneticPr fontId="2" type="noConversion"/>
  </si>
  <si>
    <t>col.AVSC3 losslG,limit-lossyA,intra.eqn.ab.ratio-geo-enc-time</t>
    <phoneticPr fontId="2" type="noConversion"/>
  </si>
  <si>
    <t>col.AVSC3 losslG,limit-lossyA,intra.eqn.ab.ratio-geo-dec-time</t>
    <phoneticPr fontId="2" type="noConversion"/>
  </si>
  <si>
    <t>col.AVSC3 losslG,limit-lossyA,intra.eqn.ab.ratio-col-enc-time</t>
    <phoneticPr fontId="2" type="noConversion"/>
  </si>
  <si>
    <t>col.AVSC3 losslG,limit-lossyA,intra.eqn.ab.ratio-col-dec-time</t>
    <phoneticPr fontId="2" type="noConversion"/>
  </si>
  <si>
    <t>col.AVSC3 losslG,limit-lossyA,intra.eqn.ab.ratio-ref-enc-time</t>
    <phoneticPr fontId="2" type="noConversion"/>
  </si>
  <si>
    <t>col.AVSC3 losslG,limit-lossyA,intra.eqn.ab.ratio-ref-dec-time</t>
    <phoneticPr fontId="2" type="noConversion"/>
  </si>
  <si>
    <t>'AVSC3 losslG,limit-lossyA,intra'!$L$1</t>
    <phoneticPr fontId="2" type="noConversion"/>
  </si>
  <si>
    <t>'AVSC3 losslG,limit-lossyA,intra'!$AU$1</t>
    <phoneticPr fontId="2" type="noConversion"/>
  </si>
  <si>
    <t>'AVSC3 losslG,limit-lossyA,intra'!$A$5:$DI$9</t>
  </si>
  <si>
    <t>'AVSC3 losslG,limit-lossyA,intra'!$A$10:$DI$14</t>
  </si>
  <si>
    <t>'AVSC3 losslG,limit-lossyA,intra'!$A$15:$DI$19</t>
  </si>
  <si>
    <t>'AVSC3 losslG,limit-lossyA,intra'!$A$20:$DI$24</t>
  </si>
  <si>
    <t>'AVSC3 losslG,limit-lossyA,intra'!$A$25:$DI$29</t>
  </si>
  <si>
    <t>'AVSC3 losslG,limit-lossyA,intra'!$A$30:$DI$34</t>
  </si>
  <si>
    <t>'AVSC3 losslG,limit-lossyA,intra'!$A$35:$DI$39</t>
  </si>
  <si>
    <t>'AVSC3 losslG,limit-lossyA,intra'!$A$40:$DI$44</t>
  </si>
  <si>
    <t>'AVSC3 losslG,limit-lossyA,intra'!$A$45:$DI$49</t>
  </si>
  <si>
    <t>'AVSC3 losslG,limit-lossyA,intra'!$A$50:$DI$54</t>
  </si>
  <si>
    <t>'AVSC3 losslG,limit-lossyA,intra'!$A$55:$DI$59</t>
  </si>
  <si>
    <t>'AVSC3 losslG,limit-lossyA,intra'!$A$60:$DI$64</t>
  </si>
  <si>
    <t>'AVSC3 losslG,limit-lossyA,intra'!$A$65:$DI$69</t>
  </si>
  <si>
    <t>'AVSC3 losslG,limit-lossyA,intra'!$A$70:$DI$74</t>
  </si>
  <si>
    <t>'AVSC3 losslG,limit-lossyA,intra'!$A$75:$DI$79</t>
  </si>
  <si>
    <t>'AVSC3 losslG,limit-lossyA,intra'!$A$80:$DI$84</t>
  </si>
  <si>
    <t>'AVSC3 losslG,limit-lossyA,intra'!$A$85:$DI$89</t>
  </si>
  <si>
    <t>'AVSC3 losslG,limit-lossyA,intra'!$A$90:$DI$94</t>
  </si>
  <si>
    <t>'AVSC3 losslG,limit-lossyA,intra'!$A$95:$DI$99</t>
  </si>
  <si>
    <t>'AVSC3 losslG,limit-lossyA,intra'!$A$100:$DI$104</t>
  </si>
  <si>
    <t>'AVSC3 losslG,limit-lossyA,intra'!$A$105:$DI$109</t>
  </si>
  <si>
    <t>'AVSC3 losslG,limit-lossyA,intra'!$A$110:$DI$114</t>
  </si>
  <si>
    <t>'AVSC3 losslG,limit-lossyA,intra'!$A$115:$DI$119</t>
  </si>
  <si>
    <t>'AVSC3 losslG,limit-lossyA,intra'!$A$120:$DI$124</t>
  </si>
  <si>
    <t>'AVSC3 losslG,limit-lossyA,intra'!$A$125:$DI$129</t>
  </si>
  <si>
    <t>'AVSC3 losslG,limit-lossyA,intra'!$A$130:$DI$134</t>
  </si>
  <si>
    <t>col.AVSC4 losslG,losslA,intra.A.geo.enc.utime</t>
    <phoneticPr fontId="2" type="noConversion"/>
  </si>
  <si>
    <t>col.AVSC4 losslG,losslA,intra.A.geo.dec.utime</t>
    <phoneticPr fontId="2" type="noConversion"/>
  </si>
  <si>
    <t>col.AVSC4 losslG,losslA,intra.A.col.enc.utime</t>
    <phoneticPr fontId="2" type="noConversion"/>
  </si>
  <si>
    <t>col.AVSC4 losslG,losslA,intra.A.col.dec.utime</t>
    <phoneticPr fontId="2" type="noConversion"/>
  </si>
  <si>
    <t>col.AVSC4 losslG,losslA,intra.A.ref.enc.utime</t>
    <phoneticPr fontId="2" type="noConversion"/>
  </si>
  <si>
    <t>col.AVSC4 losslG,losslA,intra.A.ref.dec.utime</t>
    <phoneticPr fontId="2" type="noConversion"/>
  </si>
  <si>
    <t>col.AVSC4 losslG,losslA,intra.B.geo.enc.utime</t>
    <phoneticPr fontId="2" type="noConversion"/>
  </si>
  <si>
    <t>col.AVSC4 losslG,losslA,intra.B.geo.dec.utime</t>
    <phoneticPr fontId="2" type="noConversion"/>
  </si>
  <si>
    <t>col.AVSC4 losslG,losslA,intra.B.col.enc.utime</t>
    <phoneticPr fontId="2" type="noConversion"/>
  </si>
  <si>
    <t>col.AVSC4 losslG,losslA,intra.B.col.dec.utime</t>
    <phoneticPr fontId="2" type="noConversion"/>
  </si>
  <si>
    <t>col.AVSC4 losslG,losslA,intra.B.ref.enc.utime</t>
    <phoneticPr fontId="2" type="noConversion"/>
  </si>
  <si>
    <t>col.AVSC4 losslG,losslA,intra.B.ref.dec.utime</t>
    <phoneticPr fontId="2" type="noConversion"/>
  </si>
  <si>
    <t>col.AVSC4 losslG,losslA,intra.eqn.ab.ratio-enc-time</t>
    <phoneticPr fontId="2" type="noConversion"/>
  </si>
  <si>
    <t>col.AVSC4 losslG,losslA,intra.eqn.ab.ratio-dec-time</t>
    <phoneticPr fontId="2" type="noConversion"/>
  </si>
  <si>
    <t>col.AVSC4 losslG,losslA,intra.eqn.ab.ratio-geo-enc-time</t>
    <phoneticPr fontId="2" type="noConversion"/>
  </si>
  <si>
    <t>col.AVSC4 losslG,losslA,intra.eqn.ab.ratio-geo-dec-time</t>
    <phoneticPr fontId="2" type="noConversion"/>
  </si>
  <si>
    <t>col.AVSC4 losslG,losslA,intra.eqn.ab.ratio-col-enc-time</t>
    <phoneticPr fontId="2" type="noConversion"/>
  </si>
  <si>
    <t>col.AVSC4 losslG,losslA,intra.eqn.ab.ratio-col-dec-time</t>
    <phoneticPr fontId="2" type="noConversion"/>
  </si>
  <si>
    <t>col.AVSC4 losslG,losslA,intra.eqn.ab.ratio-ref-enc-time</t>
    <phoneticPr fontId="2" type="noConversion"/>
  </si>
  <si>
    <t>col.AVSC4 losslG,losslA,intra.eqn.ab.ratio-ref-dec-time</t>
    <phoneticPr fontId="2" type="noConversion"/>
  </si>
  <si>
    <t>'AVSC4 losslG,losslA,intra'!$K$1</t>
    <phoneticPr fontId="2" type="noConversion"/>
  </si>
  <si>
    <t>'AVSC4 losslG,losslA,intra'!$AL$1</t>
    <phoneticPr fontId="2" type="noConversion"/>
  </si>
  <si>
    <t>'AVSC4 losslG,losslA,intra'!$A$5:$CB$5</t>
  </si>
  <si>
    <t>'AVSC4 losslG,losslA,intra'!$A$6:$CB$6</t>
  </si>
  <si>
    <t>'AVSC4 losslG,losslA,intra'!$A$7:$CB$7</t>
  </si>
  <si>
    <t>'AVSC4 losslG,losslA,intra'!$A$8:$CB$8</t>
  </si>
  <si>
    <t>'AVSC4 losslG,losslA,intra'!$A$9:$CB$9</t>
  </si>
  <si>
    <t>'AVSC4 losslG,losslA,intra'!$A$10:$CB$10</t>
  </si>
  <si>
    <t>'AVSC4 losslG,losslA,intra'!$A$11:$CB$11</t>
  </si>
  <si>
    <t>'AVSC4 losslG,losslA,intra'!$A$12:$CB$12</t>
  </si>
  <si>
    <t>'AVSC4 losslG,losslA,intra'!$A$13:$CB$13</t>
  </si>
  <si>
    <t>'AVSC4 losslG,losslA,intra'!$A$14:$CB$14</t>
  </si>
  <si>
    <t>'AVSC4 losslG,losslA,intra'!$A$15:$CB$15</t>
  </si>
  <si>
    <t>'AVSC4 losslG,losslA,intra'!$A$16:$CB$16</t>
  </si>
  <si>
    <t>'AVSC4 losslG,losslA,intra'!$A$17:$CB$17</t>
  </si>
  <si>
    <t>'AVSC4 losslG,losslA,intra'!$A$18:$CB$18</t>
  </si>
  <si>
    <t>'AVSC4 losslG,losslA,intra'!$A$19:$CB$19</t>
  </si>
  <si>
    <t>'AVSC4 losslG,losslA,intra'!$A$20:$CB$20</t>
  </si>
  <si>
    <t>'AVSC4 losslG,losslA,intra'!$A$21:$CB$21</t>
  </si>
  <si>
    <t>'AVSC4 losslG,losslA,intra'!$A$22:$CB$22</t>
  </si>
  <si>
    <t>'AVSC4 losslG,losslA,intra'!$A$23:$CB$23</t>
  </si>
  <si>
    <t>'AVSC4 losslG,losslA,intra'!$A$24:$CB$24</t>
  </si>
  <si>
    <t>'AVSC4 losslG,losslA,intra'!$A$25:$CB$25</t>
  </si>
  <si>
    <t>'AVSC4 losslG,losslA,intra'!$A$26:$CB$26</t>
  </si>
  <si>
    <t>'AVSC4 losslG,losslA,intra'!$A$27:$CB$27</t>
  </si>
  <si>
    <t>'AVSC4 losslG,losslA,intra'!$A$28:$CB$28</t>
  </si>
  <si>
    <t>'AVSC4 losslG,losslA,intra'!$A$29:$CB$29</t>
  </si>
  <si>
    <t>'AVSC4 losslG,losslA,intra'!$A$30:$CB$30</t>
  </si>
  <si>
    <t>range.AVSC1 limit-lossyG,lossyA,intra.apollo_vox14</t>
    <phoneticPr fontId="2" type="noConversion"/>
  </si>
  <si>
    <t>range.AVSC1 limit-lossyG,lossyA,intra.bicycle_vox13</t>
    <phoneticPr fontId="2" type="noConversion"/>
  </si>
  <si>
    <t>range.AVSC1 limit-lossyG,lossyA,intra.building_vox13</t>
    <phoneticPr fontId="2" type="noConversion"/>
  </si>
  <si>
    <t>range.AVSC1 limit-lossyG,lossyA,intra.caiman_vox15</t>
    <phoneticPr fontId="2" type="noConversion"/>
  </si>
  <si>
    <t>range.AVSC1 limit-lossyG,lossyA,intra.candlestick_vox13</t>
    <phoneticPr fontId="2" type="noConversion"/>
  </si>
  <si>
    <t>range.AVSC1 limit-lossyG,lossyA,intra.casket_vox14</t>
    <phoneticPr fontId="2" type="noConversion"/>
  </si>
  <si>
    <t>range.AVSC1 limit-lossyG,lossyA,intra.chair_vox12</t>
    <phoneticPr fontId="2" type="noConversion"/>
  </si>
  <si>
    <t>range.AVSC1 limit-lossyG,lossyA,intra.clock1_vox13</t>
    <phoneticPr fontId="2" type="noConversion"/>
  </si>
  <si>
    <t>range.AVSC1 limit-lossyG,lossyA,intra.machine_vox12</t>
    <phoneticPr fontId="2" type="noConversion"/>
  </si>
  <si>
    <t>range.AVSC1 limit-lossyG,lossyA,intra.mosquito_vox14</t>
    <phoneticPr fontId="2" type="noConversion"/>
  </si>
  <si>
    <t>range.AVSC1 limit-lossyG,lossyA,intra.puppet_vox15</t>
    <phoneticPr fontId="2" type="noConversion"/>
  </si>
  <si>
    <t>range.AVSC1 limit-lossyG,lossyA,intra.shoes_vox13</t>
    <phoneticPr fontId="2" type="noConversion"/>
  </si>
  <si>
    <t>range.AVSC1 limit-lossyG,lossyA,intra.vessel4_vox12</t>
    <phoneticPr fontId="2" type="noConversion"/>
  </si>
  <si>
    <t>range.AVSC1 limit-lossyG,lossyA,intra.violin1_vox14</t>
    <phoneticPr fontId="2" type="noConversion"/>
  </si>
  <si>
    <t>'AVSC1 limit-lossyG,lossyA,intra'!$A$161:$CY$166</t>
    <phoneticPr fontId="2" type="noConversion"/>
  </si>
  <si>
    <t>'AVSC1 limit-lossyG,lossyA,intra'!$A$167:$CY$172</t>
    <phoneticPr fontId="2" type="noConversion"/>
  </si>
  <si>
    <t>'AVSC1 limit-lossyG,lossyA,intra'!$A$173:$CY$178</t>
    <phoneticPr fontId="2" type="noConversion"/>
  </si>
  <si>
    <t>'AVSC1 limit-lossyG,lossyA,intra'!$A$179:$CY$184</t>
    <phoneticPr fontId="2" type="noConversion"/>
  </si>
  <si>
    <t>'AVSC1 limit-lossyG,lossyA,intra'!$A$185:$CY$190</t>
    <phoneticPr fontId="2" type="noConversion"/>
  </si>
  <si>
    <t>'AVSC1 limit-lossyG,lossyA,intra'!$A$191:$CY$196</t>
    <phoneticPr fontId="2" type="noConversion"/>
  </si>
  <si>
    <t>'AVSC1 limit-lossyG,lossyA,intra'!$A$197:$CY$202</t>
    <phoneticPr fontId="2" type="noConversion"/>
  </si>
  <si>
    <t>'AVSC1 limit-lossyG,lossyA,intra'!$A$203:$CY$208</t>
    <phoneticPr fontId="2" type="noConversion"/>
  </si>
  <si>
    <t>'AVSC1 limit-lossyG,lossyA,intra'!$A$209:$CY$214</t>
    <phoneticPr fontId="2" type="noConversion"/>
  </si>
  <si>
    <t>'AVSC1 limit-lossyG,lossyA,intra'!$A$215:$CY$220</t>
    <phoneticPr fontId="2" type="noConversion"/>
  </si>
  <si>
    <t>'AVSC1 limit-lossyG,lossyA,intra'!$A$221:$CY$226</t>
    <phoneticPr fontId="2" type="noConversion"/>
  </si>
  <si>
    <t>'AVSC1 limit-lossyG,lossyA,intra'!$A$227:$CY$232</t>
    <phoneticPr fontId="2" type="noConversion"/>
  </si>
  <si>
    <t>'AVSC1 limit-lossyG,lossyA,intra'!$A$233:$CY$238</t>
    <phoneticPr fontId="2" type="noConversion"/>
  </si>
  <si>
    <t>'AVSC1 limit-lossyG,lossyA,intra'!$A$239:$CY$244</t>
    <phoneticPr fontId="2" type="noConversion"/>
  </si>
  <si>
    <t>range.AVSC2 losslG,lossyA,intra.apollo_vox14</t>
    <phoneticPr fontId="2" type="noConversion"/>
  </si>
  <si>
    <t>range.AVSC2 losslG,lossyA,intra.bicycle_vox13</t>
    <phoneticPr fontId="2" type="noConversion"/>
  </si>
  <si>
    <t>range.AVSC2 losslG,lossyA,intra.building_vox13</t>
    <phoneticPr fontId="2" type="noConversion"/>
  </si>
  <si>
    <t>range.AVSC2 losslG,lossyA,intra.caiman_vox15</t>
    <phoneticPr fontId="2" type="noConversion"/>
  </si>
  <si>
    <t>range.AVSC2 losslG,lossyA,intra.candlestick_vox13</t>
    <phoneticPr fontId="2" type="noConversion"/>
  </si>
  <si>
    <t>range.AVSC2 losslG,lossyA,intra.casket_vox14</t>
    <phoneticPr fontId="2" type="noConversion"/>
  </si>
  <si>
    <t>range.AVSC2 losslG,lossyA,intra.chair_vox12</t>
    <phoneticPr fontId="2" type="noConversion"/>
  </si>
  <si>
    <t>range.AVSC2 losslG,lossyA,intra.clock1_vox13</t>
    <phoneticPr fontId="2" type="noConversion"/>
  </si>
  <si>
    <t>range.AVSC2 losslG,lossyA,intra.machine_vox12</t>
    <phoneticPr fontId="2" type="noConversion"/>
  </si>
  <si>
    <t>range.AVSC2 losslG,lossyA,intra.mosquito_vox14</t>
    <phoneticPr fontId="2" type="noConversion"/>
  </si>
  <si>
    <t>range.AVSC2 losslG,lossyA,intra.puppet_vox15</t>
    <phoneticPr fontId="2" type="noConversion"/>
  </si>
  <si>
    <t>range.AVSC2 losslG,lossyA,intra.shoes_vox13</t>
    <phoneticPr fontId="2" type="noConversion"/>
  </si>
  <si>
    <t>range.AVSC2 losslG,lossyA,intra.vessel4_vox12</t>
    <phoneticPr fontId="2" type="noConversion"/>
  </si>
  <si>
    <t>range.AVSC2 losslG,lossyA,intra.violin1_vox14</t>
    <phoneticPr fontId="2" type="noConversion"/>
  </si>
  <si>
    <t>'AVSC2 losslG,lossyA,intra'!$A$83:$CQ$88</t>
    <phoneticPr fontId="2" type="noConversion"/>
  </si>
  <si>
    <t>'AVSC2 losslG,lossyA,intra'!$A$89:$CQ$94</t>
    <phoneticPr fontId="2" type="noConversion"/>
  </si>
  <si>
    <t>'AVSC2 losslG,lossyA,intra'!$A$95:$CQ$100</t>
    <phoneticPr fontId="2" type="noConversion"/>
  </si>
  <si>
    <t>'AVSC2 losslG,lossyA,intra'!$A$101:$CQ$106</t>
    <phoneticPr fontId="2" type="noConversion"/>
  </si>
  <si>
    <t>'AVSC2 losslG,lossyA,intra'!$A$107:$CQ$112</t>
    <phoneticPr fontId="2" type="noConversion"/>
  </si>
  <si>
    <t>'AVSC2 losslG,lossyA,intra'!$A$113:$CQ$118</t>
    <phoneticPr fontId="2" type="noConversion"/>
  </si>
  <si>
    <t>'AVSC2 losslG,lossyA,intra'!$A$119:$CQ$124</t>
    <phoneticPr fontId="2" type="noConversion"/>
  </si>
  <si>
    <t>'AVSC2 losslG,lossyA,intra'!$A$125:$CQ$130</t>
    <phoneticPr fontId="2" type="noConversion"/>
  </si>
  <si>
    <t>'AVSC2 losslG,lossyA,intra'!$A$131:$CQ$136</t>
    <phoneticPr fontId="2" type="noConversion"/>
  </si>
  <si>
    <t>'AVSC2 losslG,lossyA,intra'!$A$137:$CQ$142</t>
    <phoneticPr fontId="2" type="noConversion"/>
  </si>
  <si>
    <t>'AVSC2 losslG,lossyA,intra'!$A$143:$CQ$148</t>
    <phoneticPr fontId="2" type="noConversion"/>
  </si>
  <si>
    <t>'AVSC2 losslG,lossyA,intra'!$A$149:$CQ$154</t>
    <phoneticPr fontId="2" type="noConversion"/>
  </si>
  <si>
    <t>'AVSC2 losslG,lossyA,intra'!$A$155:$CQ$160</t>
    <phoneticPr fontId="2" type="noConversion"/>
  </si>
  <si>
    <t>'AVSC2 losslG,lossyA,intra'!$A$161:$CQ$166</t>
    <phoneticPr fontId="2" type="noConversion"/>
  </si>
  <si>
    <t>'AVSC2 losslG,lossyA,intra'!$A$167:$CQ$172</t>
    <phoneticPr fontId="2" type="noConversion"/>
  </si>
  <si>
    <t>'AVSC2 losslG,lossyA,intra'!$A$173:$CQ$178</t>
    <phoneticPr fontId="2" type="noConversion"/>
  </si>
  <si>
    <t>'AVSC2 losslG,lossyA,intra'!$A$179:$CQ$184</t>
    <phoneticPr fontId="2" type="noConversion"/>
  </si>
  <si>
    <t>'AVSC2 losslG,lossyA,intra'!$A$185:$CQ$190</t>
    <phoneticPr fontId="2" type="noConversion"/>
  </si>
  <si>
    <t>'AVSC2 losslG,lossyA,intra'!$A$191:$CQ$196</t>
    <phoneticPr fontId="2" type="noConversion"/>
  </si>
  <si>
    <t>'AVSC2 losslG,lossyA,intra'!$A$197:$CQ$202</t>
    <phoneticPr fontId="2" type="noConversion"/>
  </si>
  <si>
    <t>'AVSC2 losslG,lossyA,intra'!$A$203:$CQ$208</t>
    <phoneticPr fontId="2" type="noConversion"/>
  </si>
  <si>
    <t>'AVSC2 losslG,lossyA,intra'!$A$209:$CQ$214</t>
    <phoneticPr fontId="2" type="noConversion"/>
  </si>
  <si>
    <t>'AVSC2 losslG,lossyA,intra'!$A$215:$CQ$220</t>
    <phoneticPr fontId="2" type="noConversion"/>
  </si>
  <si>
    <t>'AVSC2 losslG,lossyA,intra'!$A$221:$CQ$226</t>
    <phoneticPr fontId="2" type="noConversion"/>
  </si>
  <si>
    <t>'AVSC2 losslG,lossyA,intra'!$A$227:$CQ$232</t>
    <phoneticPr fontId="2" type="noConversion"/>
  </si>
  <si>
    <t>'AVSC2 losslG,lossyA,intra'!$A$233:$CQ$238</t>
    <phoneticPr fontId="2" type="noConversion"/>
  </si>
  <si>
    <t>'AVSC2 losslG,lossyA,intra'!$A$239:$CQ$244</t>
    <phoneticPr fontId="2" type="noConversion"/>
  </si>
  <si>
    <t>range.AVSC3 losslG,limit-lossyA,intra.apollo_vox14</t>
    <phoneticPr fontId="2" type="noConversion"/>
  </si>
  <si>
    <t>range.AVSC3 losslG,limit-lossyA,intra.bicycle_vox13</t>
    <phoneticPr fontId="2" type="noConversion"/>
  </si>
  <si>
    <t>range.AVSC3 losslG,limit-lossyA,intra.building_vox13</t>
    <phoneticPr fontId="2" type="noConversion"/>
  </si>
  <si>
    <t>range.AVSC3 losslG,limit-lossyA,intra.caiman_vox15</t>
    <phoneticPr fontId="2" type="noConversion"/>
  </si>
  <si>
    <t>range.AVSC3 losslG,limit-lossyA,intra.candlestick_vox13</t>
    <phoneticPr fontId="2" type="noConversion"/>
  </si>
  <si>
    <t>range.AVSC3 losslG,limit-lossyA,intra.casket_vox14</t>
    <phoneticPr fontId="2" type="noConversion"/>
  </si>
  <si>
    <t>range.AVSC3 losslG,limit-lossyA,intra.chair_vox12</t>
    <phoneticPr fontId="2" type="noConversion"/>
  </si>
  <si>
    <t>range.AVSC3 losslG,limit-lossyA,intra.clock1_vox13</t>
    <phoneticPr fontId="2" type="noConversion"/>
  </si>
  <si>
    <t>range.AVSC3 losslG,limit-lossyA,intra.machine_vox12</t>
    <phoneticPr fontId="2" type="noConversion"/>
  </si>
  <si>
    <t>range.AVSC3 losslG,limit-lossyA,intra.mosquito_vox14</t>
    <phoneticPr fontId="2" type="noConversion"/>
  </si>
  <si>
    <t>range.AVSC3 losslG,limit-lossyA,intra.puppet_vox15</t>
    <phoneticPr fontId="2" type="noConversion"/>
  </si>
  <si>
    <t>range.AVSC3 losslG,limit-lossyA,intra.shoes_vox13</t>
    <phoneticPr fontId="2" type="noConversion"/>
  </si>
  <si>
    <t>range.AVSC3 losslG,limit-lossyA,intra.vessel4_vox12</t>
    <phoneticPr fontId="2" type="noConversion"/>
  </si>
  <si>
    <t>range.AVSC3 losslG,limit-lossyA,intra.violin1_vox14</t>
    <phoneticPr fontId="2" type="noConversion"/>
  </si>
  <si>
    <t>'AVSC3 losslG,limit-lossyA,intra'!$A$135:$DI$139</t>
    <phoneticPr fontId="2" type="noConversion"/>
  </si>
  <si>
    <t>'AVSC3 losslG,limit-lossyA,intra'!$A$140:$DI$144</t>
    <phoneticPr fontId="2" type="noConversion"/>
  </si>
  <si>
    <t>'AVSC3 losslG,limit-lossyA,intra'!$A$145:$DI$149</t>
    <phoneticPr fontId="2" type="noConversion"/>
  </si>
  <si>
    <t>'AVSC3 losslG,limit-lossyA,intra'!$A$150:$DI$154</t>
    <phoneticPr fontId="2" type="noConversion"/>
  </si>
  <si>
    <t>'AVSC3 losslG,limit-lossyA,intra'!$A$155:$DI$159</t>
    <phoneticPr fontId="2" type="noConversion"/>
  </si>
  <si>
    <t>'AVSC3 losslG,limit-lossyA,intra'!$A$160:$DI$164</t>
    <phoneticPr fontId="2" type="noConversion"/>
  </si>
  <si>
    <t>'AVSC3 losslG,limit-lossyA,intra'!$A$165:$DI$169</t>
    <phoneticPr fontId="2" type="noConversion"/>
  </si>
  <si>
    <t>'AVSC3 losslG,limit-lossyA,intra'!$A$170:$DI$174</t>
    <phoneticPr fontId="2" type="noConversion"/>
  </si>
  <si>
    <t>'AVSC3 losslG,limit-lossyA,intra'!$A$175:$DI$179</t>
    <phoneticPr fontId="2" type="noConversion"/>
  </si>
  <si>
    <t>'AVSC3 losslG,limit-lossyA,intra'!$A$180:$DI$184</t>
    <phoneticPr fontId="2" type="noConversion"/>
  </si>
  <si>
    <t>'AVSC3 losslG,limit-lossyA,intra'!$A$185:$DI$189</t>
    <phoneticPr fontId="2" type="noConversion"/>
  </si>
  <si>
    <t>'AVSC3 losslG,limit-lossyA,intra'!$A$190:$DI$194</t>
    <phoneticPr fontId="2" type="noConversion"/>
  </si>
  <si>
    <t>'AVSC3 losslG,limit-lossyA,intra'!$A$195:$DI$199</t>
    <phoneticPr fontId="2" type="noConversion"/>
  </si>
  <si>
    <t>'AVSC3 losslG,limit-lossyA,intra'!$A$200:$DI$204</t>
    <phoneticPr fontId="2" type="noConversion"/>
  </si>
  <si>
    <t>range.AVSC4 losslG,losslA,intra.apollo_vox14</t>
    <phoneticPr fontId="2" type="noConversion"/>
  </si>
  <si>
    <t>range.AVSC4 losslG,losslA,intra.bicycle_vox13</t>
    <phoneticPr fontId="2" type="noConversion"/>
  </si>
  <si>
    <t>range.AVSC4 losslG,losslA,intra.building_vox13</t>
    <phoneticPr fontId="2" type="noConversion"/>
  </si>
  <si>
    <t>range.AVSC4 losslG,losslA,intra.caiman_vox15</t>
    <phoneticPr fontId="2" type="noConversion"/>
  </si>
  <si>
    <t>range.AVSC4 losslG,losslA,intra.candlestick_vox13</t>
    <phoneticPr fontId="2" type="noConversion"/>
  </si>
  <si>
    <t>range.AVSC4 losslG,losslA,intra.casket_vox14</t>
    <phoneticPr fontId="2" type="noConversion"/>
  </si>
  <si>
    <t>range.AVSC4 losslG,losslA,intra.chair_vox12</t>
    <phoneticPr fontId="2" type="noConversion"/>
  </si>
  <si>
    <t>range.AVSC4 losslG,losslA,intra.clock1_vox13</t>
    <phoneticPr fontId="2" type="noConversion"/>
  </si>
  <si>
    <t>range.AVSC4 losslG,losslA,intra.machine_vox12</t>
    <phoneticPr fontId="2" type="noConversion"/>
  </si>
  <si>
    <t>range.AVSC4 losslG,losslA,intra.mosquito_vox14</t>
    <phoneticPr fontId="2" type="noConversion"/>
  </si>
  <si>
    <t>range.AVSC4 losslG,losslA,intra.puppet_vox15</t>
    <phoneticPr fontId="2" type="noConversion"/>
  </si>
  <si>
    <t>range.AVSC4 losslG,losslA,intra.shoes_vox13</t>
    <phoneticPr fontId="2" type="noConversion"/>
  </si>
  <si>
    <t>range.AVSC4 losslG,losslA,intra.vessel4_vox12</t>
    <phoneticPr fontId="2" type="noConversion"/>
  </si>
  <si>
    <t>range.AVSC4 losslG,losslA,intra.violin1_vox14</t>
    <phoneticPr fontId="2" type="noConversion"/>
  </si>
  <si>
    <t>'AVSC4 losslG,losslA,intra'!$A$31:$CB$31</t>
    <phoneticPr fontId="2" type="noConversion"/>
  </si>
  <si>
    <t>'AVSC4 losslG,losslA,intra'!$A$32:$CB$32</t>
    <phoneticPr fontId="2" type="noConversion"/>
  </si>
  <si>
    <t>'AVSC4 losslG,losslA,intra'!$A$33:$CB$33</t>
    <phoneticPr fontId="2" type="noConversion"/>
  </si>
  <si>
    <t>'AVSC4 losslG,losslA,intra'!$A$34:$CB$34</t>
    <phoneticPr fontId="2" type="noConversion"/>
  </si>
  <si>
    <t>'AVSC4 losslG,losslA,intra'!$A$35:$CB$35</t>
    <phoneticPr fontId="2" type="noConversion"/>
  </si>
  <si>
    <t>'AVSC4 losslG,losslA,intra'!$A$36:$CB$36</t>
    <phoneticPr fontId="2" type="noConversion"/>
  </si>
  <si>
    <t>'AVSC4 losslG,losslA,intra'!$A$37:$CB$37</t>
    <phoneticPr fontId="2" type="noConversion"/>
  </si>
  <si>
    <t>'AVSC4 losslG,losslA,intra'!$A$38:$CB$38</t>
    <phoneticPr fontId="2" type="noConversion"/>
  </si>
  <si>
    <t>'AVSC4 losslG,losslA,intra'!$A$39:$CB$39</t>
    <phoneticPr fontId="2" type="noConversion"/>
  </si>
  <si>
    <t>'AVSC4 losslG,losslA,intra'!$A$40:$CB$40</t>
    <phoneticPr fontId="2" type="noConversion"/>
  </si>
  <si>
    <t>'AVSC4 losslG,losslA,intra'!$A$41:$CB$41</t>
    <phoneticPr fontId="2" type="noConversion"/>
  </si>
  <si>
    <t>'AVSC4 losslG,losslA,intra'!$A$42:$CB$42</t>
    <phoneticPr fontId="2" type="noConversion"/>
  </si>
  <si>
    <t>'AVSC4 losslG,losslA,intra'!$A$43:$CB$43</t>
    <phoneticPr fontId="2" type="noConversion"/>
  </si>
  <si>
    <t>'AVSC4 losslG,losslA,intra'!$A$44:$CB$44</t>
    <phoneticPr fontId="2" type="noConversion"/>
  </si>
  <si>
    <t>Attribute</t>
  </si>
  <si>
    <t>RGB-PSNR</t>
  </si>
  <si>
    <t>YUV-PSNR</t>
  </si>
  <si>
    <t>YUV-SSIM</t>
  </si>
  <si>
    <t>bartender</t>
  </si>
  <si>
    <t>cinema</t>
  </si>
  <si>
    <t>Attr Encoder runtime [s]</t>
  </si>
  <si>
    <t>Attr Decoder runtime [s]</t>
  </si>
  <si>
    <t>SH 0</t>
  </si>
  <si>
    <t>SH1</t>
  </si>
  <si>
    <t>SH2</t>
  </si>
  <si>
    <t>SH3</t>
  </si>
  <si>
    <t>Rotation</t>
  </si>
  <si>
    <t>Scaling</t>
  </si>
  <si>
    <t>Opacity</t>
  </si>
  <si>
    <t>Anchor</t>
  </si>
  <si>
    <t>Test</t>
  </si>
  <si>
    <t>Test point</t>
  </si>
  <si>
    <t>r05</t>
    <phoneticPr fontId="8" type="noConversion"/>
  </si>
  <si>
    <t>No output points</t>
  </si>
  <si>
    <t>No input points</t>
  </si>
  <si>
    <t>photo</t>
  </si>
  <si>
    <t>toy</t>
  </si>
  <si>
    <t>bicycle</t>
  </si>
  <si>
    <t>garden</t>
  </si>
  <si>
    <t>rocket</t>
  </si>
  <si>
    <t>alley</t>
  </si>
  <si>
    <t>Class</t>
  </si>
  <si>
    <t>cat1</t>
  </si>
  <si>
    <t>cat2</t>
  </si>
  <si>
    <t>User Encoder runtime</t>
    <phoneticPr fontId="2" type="noConversion"/>
  </si>
  <si>
    <t>User Decoder runtime</t>
    <phoneticPr fontId="2" type="noConversion"/>
  </si>
  <si>
    <t>Geom Encoder runtime</t>
    <phoneticPr fontId="2" type="noConversion"/>
  </si>
  <si>
    <t>Geom Decoder runtime</t>
    <phoneticPr fontId="2" type="noConversion"/>
  </si>
  <si>
    <t>Attr Encoder runtime</t>
    <phoneticPr fontId="2" type="noConversion"/>
  </si>
  <si>
    <t>Attr Decoder runtime</t>
    <phoneticPr fontId="2" type="noConversion"/>
  </si>
  <si>
    <t>cat1</t>
    <phoneticPr fontId="2" type="noConversion"/>
  </si>
  <si>
    <t>cat2</t>
    <phoneticPr fontId="2" type="noConversion"/>
  </si>
  <si>
    <t>bartender</t>
    <phoneticPr fontId="2" type="noConversion"/>
  </si>
  <si>
    <t>RGB-PSNR</t>
    <phoneticPr fontId="2" type="noConversion"/>
  </si>
  <si>
    <t>YUV-PSNR</t>
    <phoneticPr fontId="2" type="noConversion"/>
  </si>
  <si>
    <t>All data points</t>
    <phoneticPr fontId="2" type="noConversion"/>
  </si>
  <si>
    <t>Class</t>
    <phoneticPr fontId="2" type="noConversion"/>
  </si>
  <si>
    <t>End-to-End BD-AttrRate[%]</t>
    <phoneticPr fontId="2" type="noConversion"/>
  </si>
  <si>
    <t>Ref</t>
    <phoneticPr fontId="2" type="noConversion"/>
  </si>
  <si>
    <r>
      <rPr>
        <b/>
        <sz val="11"/>
        <color theme="1"/>
        <rFont val="Segoe UI Symbol"/>
        <family val="1"/>
      </rPr>
      <t>△</t>
    </r>
    <r>
      <rPr>
        <b/>
        <sz val="11"/>
        <color theme="1"/>
        <rFont val="Cambria"/>
        <family val="1"/>
      </rPr>
      <t>Bitstream [bits]</t>
    </r>
    <phoneticPr fontId="2" type="noConversion"/>
  </si>
  <si>
    <r>
      <rPr>
        <b/>
        <sz val="11"/>
        <color theme="1"/>
        <rFont val="Segoe UI Symbol"/>
        <family val="1"/>
      </rPr>
      <t>△</t>
    </r>
    <r>
      <rPr>
        <b/>
        <sz val="11"/>
        <color theme="1"/>
        <rFont val="Cambria"/>
        <family val="1"/>
      </rPr>
      <t>Attr PSNR/SSIM</t>
    </r>
    <phoneticPr fontId="2" type="noConversion"/>
  </si>
  <si>
    <t>Delta=Anchor-Test</t>
    <phoneticPr fontId="2" type="noConversion"/>
  </si>
  <si>
    <r>
      <rPr>
        <b/>
        <sz val="11"/>
        <color theme="1"/>
        <rFont val="Segoe UI Symbol"/>
        <family val="1"/>
      </rPr>
      <t>△</t>
    </r>
    <r>
      <rPr>
        <b/>
        <sz val="11"/>
        <color theme="1"/>
        <rFont val="Cambria"/>
        <family val="1"/>
      </rPr>
      <t>No output points</t>
    </r>
    <phoneticPr fontId="2" type="noConversion"/>
  </si>
  <si>
    <t>Sequence list</t>
    <phoneticPr fontId="2" type="noConversion"/>
  </si>
  <si>
    <t>Bitstream [bits]</t>
    <phoneticPr fontId="2" type="noConversion"/>
  </si>
  <si>
    <t>Seq</t>
    <phoneticPr fontId="2" type="noConversion"/>
  </si>
  <si>
    <t>Attr</t>
    <phoneticPr fontId="2" type="noConversion"/>
  </si>
  <si>
    <t>start row</t>
    <phoneticPr fontId="2" type="noConversion"/>
  </si>
  <si>
    <t>Sequence</t>
    <phoneticPr fontId="2" type="noConversion"/>
  </si>
  <si>
    <t>BD-TotalRate</t>
    <phoneticPr fontId="2" type="noConversion"/>
  </si>
  <si>
    <t>BD-AttrRate</t>
    <phoneticPr fontId="2" type="noConversion"/>
  </si>
  <si>
    <t>Information row/column</t>
    <phoneticPr fontId="2" type="noConversion"/>
  </si>
  <si>
    <t>Total Average</t>
    <phoneticPr fontId="2" type="noConversion"/>
  </si>
  <si>
    <t>Attribute</t>
    <phoneticPr fontId="2" type="noConversion"/>
  </si>
  <si>
    <t xml:space="preserve">BD-totalRate </t>
    <phoneticPr fontId="2" type="noConversion"/>
  </si>
  <si>
    <t xml:space="preserve">BD-AttrRate </t>
    <phoneticPr fontId="2" type="noConversion"/>
  </si>
  <si>
    <t xml:space="preserve">Anchor:  </t>
    <phoneticPr fontId="2" type="noConversion"/>
  </si>
  <si>
    <t xml:space="preserve">Test:  </t>
    <phoneticPr fontId="2" type="noConversion"/>
  </si>
  <si>
    <t xml:space="preserve"> pcrm-v12.0-predict</t>
    <phoneticPr fontId="2" type="noConversion"/>
  </si>
  <si>
    <t xml:space="preserve"> pcrm-v12.0-transform</t>
    <phoneticPr fontId="2" type="noConversion"/>
  </si>
  <si>
    <t xml:space="preserve">cat2 </t>
    <phoneticPr fontId="2" type="noConversion"/>
  </si>
  <si>
    <t>PSNR/SSIM</t>
    <phoneticPr fontId="2" type="noConversion"/>
  </si>
  <si>
    <t xml:space="preserve">Total </t>
    <phoneticPr fontId="2" type="noConversion"/>
  </si>
  <si>
    <t>C1!H</t>
    <phoneticPr fontId="2" type="noConversion"/>
  </si>
  <si>
    <t>anchor totalbits</t>
    <phoneticPr fontId="2" type="noConversion"/>
  </si>
  <si>
    <t>anchor attrbits</t>
    <phoneticPr fontId="2" type="noConversion"/>
  </si>
  <si>
    <t xml:space="preserve">test totalbits </t>
    <phoneticPr fontId="2" type="noConversion"/>
  </si>
  <si>
    <t xml:space="preserve">test attrbits </t>
    <phoneticPr fontId="2" type="noConversion"/>
  </si>
  <si>
    <t>C1!R</t>
    <phoneticPr fontId="2" type="noConversion"/>
  </si>
  <si>
    <t>C1!AL</t>
    <phoneticPr fontId="2" type="noConversion"/>
  </si>
  <si>
    <t>C1!AB</t>
    <phoneticPr fontId="2" type="noConversion"/>
  </si>
  <si>
    <t>C1!F</t>
    <phoneticPr fontId="2" type="noConversion"/>
  </si>
  <si>
    <t>C1!Z</t>
    <phoneticPr fontId="2" type="noConversion"/>
  </si>
  <si>
    <t>C1!P</t>
    <phoneticPr fontId="2" type="noConversion"/>
  </si>
  <si>
    <t>ahchor RGB-PSNR</t>
    <phoneticPr fontId="2" type="noConversion"/>
  </si>
  <si>
    <t>ahchor YUV-PSNR</t>
    <phoneticPr fontId="2" type="noConversion"/>
  </si>
  <si>
    <t>ahchor YUV-SSIM</t>
    <phoneticPr fontId="2" type="noConversion"/>
  </si>
  <si>
    <t>C1!Q</t>
    <phoneticPr fontId="2" type="noConversion"/>
  </si>
  <si>
    <t>test RGB-PSNR</t>
    <phoneticPr fontId="2" type="noConversion"/>
  </si>
  <si>
    <t>test YUV-PSNR</t>
    <phoneticPr fontId="2" type="noConversion"/>
  </si>
  <si>
    <t>test YUV-SSIM</t>
    <phoneticPr fontId="2" type="noConversion"/>
  </si>
  <si>
    <t>C1!AJ</t>
    <phoneticPr fontId="2" type="noConversion"/>
  </si>
  <si>
    <t>C1!AK</t>
    <phoneticPr fontId="2" type="noConversion"/>
  </si>
  <si>
    <t>total</t>
    <phoneticPr fontId="2" type="noConversion"/>
  </si>
  <si>
    <t>attr</t>
    <phoneticPr fontId="2" type="noConversion"/>
  </si>
  <si>
    <t>PSNR/SSIM delta</t>
    <phoneticPr fontId="2" type="noConversion"/>
  </si>
  <si>
    <t>Compare</t>
    <phoneticPr fontId="2" type="noConversion"/>
  </si>
  <si>
    <t>Rate  %</t>
    <phoneticPr fontId="2" type="noConversion"/>
  </si>
  <si>
    <t>alley</t>
    <phoneticPr fontId="2" type="noConversion"/>
  </si>
  <si>
    <t>rocket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</si>
</sst>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0.00000"/>
    <numFmt numFmtId="178" formatCode="0.000000"/>
    <numFmt numFmtId="179" formatCode="#,##0.0000000"/>
    <numFmt numFmtId="180" formatCode="0.0000_ "/>
    <numFmt numFmtId="181" formatCode="0.00_ 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2"/>
      <color theme="1"/>
      <name val="Calibri"/>
      <family val="2"/>
      <charset val="129"/>
      <scheme val="minor"/>
    </font>
    <font>
      <b/>
      <sz val="9"/>
      <color indexed="8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3"/>
      <charset val="134"/>
      <scheme val="minor"/>
    </font>
    <font>
      <sz val="12"/>
      <color rgb="FF9C0006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mbria"/>
      <family val="1"/>
    </font>
    <font>
      <b/>
      <sz val="11"/>
      <color theme="1"/>
      <name val="Cambria"/>
      <family val="1"/>
      <scheme val="major"/>
    </font>
    <font>
      <b/>
      <sz val="11"/>
      <color theme="1"/>
      <name val="Segoe UI Symbol"/>
      <family val="1"/>
    </font>
    <font>
      <b/>
      <sz val="12"/>
      <color theme="1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sz val="11"/>
      <color indexed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3" tint="0.7999511703848384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3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4DFEC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287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quotePrefix="1"/>
    <xf numFmtId="0" fontId="6" fillId="0" borderId="0" xfId="0" applyFont="1"/>
    <xf numFmtId="0" fontId="7" fillId="0" borderId="0" xfId="0" applyFont="1"/>
    <xf numFmtId="0" fontId="7" fillId="0" borderId="0" xfId="0" quotePrefix="1" applyFont="1" applyAlignment="1">
      <alignment horizontal="left"/>
    </xf>
    <xf numFmtId="0" fontId="1" fillId="0" borderId="10" xfId="0" applyFont="1" applyBorder="1" applyAlignment="1">
      <alignment horizontal="center" wrapText="1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9" fillId="0" borderId="10" xfId="0" applyFont="1" applyBorder="1" applyAlignment="1">
      <alignment horizontal="center" wrapText="1"/>
    </xf>
    <xf numFmtId="0" fontId="4" fillId="0" borderId="0" xfId="1" applyFont="1"/>
    <xf numFmtId="10" fontId="6" fillId="0" borderId="0" xfId="0" applyNumberFormat="1" applyFont="1"/>
    <xf numFmtId="10" fontId="1" fillId="0" borderId="0" xfId="0" applyNumberFormat="1" applyFont="1" applyAlignment="1">
      <alignment wrapText="1"/>
    </xf>
    <xf numFmtId="0" fontId="1" fillId="0" borderId="18" xfId="0" applyFont="1" applyBorder="1" applyAlignment="1">
      <alignment horizontal="center" wrapText="1"/>
    </xf>
    <xf numFmtId="3" fontId="1" fillId="0" borderId="18" xfId="0" applyNumberFormat="1" applyFont="1" applyBorder="1" applyAlignment="1">
      <alignment horizontal="right" wrapText="1"/>
    </xf>
    <xf numFmtId="3" fontId="0" fillId="0" borderId="0" xfId="0" applyNumberFormat="1" applyAlignment="1">
      <alignment horizontal="right"/>
    </xf>
    <xf numFmtId="10" fontId="0" fillId="0" borderId="0" xfId="0" applyNumberFormat="1" applyAlignment="1">
      <alignment horizontal="center"/>
    </xf>
    <xf numFmtId="3" fontId="0" fillId="0" borderId="0" xfId="0" applyNumberFormat="1"/>
    <xf numFmtId="3" fontId="1" fillId="0" borderId="18" xfId="0" applyNumberFormat="1" applyFont="1" applyBorder="1" applyAlignment="1">
      <alignment horizontal="center" wrapText="1"/>
    </xf>
    <xf numFmtId="3" fontId="11" fillId="0" borderId="0" xfId="0" applyNumberFormat="1" applyFont="1" applyAlignment="1">
      <alignment horizontal="center"/>
    </xf>
    <xf numFmtId="0" fontId="12" fillId="0" borderId="1" xfId="0" applyFont="1" applyBorder="1" applyAlignment="1">
      <alignment horizontal="right"/>
    </xf>
    <xf numFmtId="0" fontId="12" fillId="0" borderId="2" xfId="0" applyFont="1" applyBorder="1" applyAlignment="1">
      <alignment horizontal="right"/>
    </xf>
    <xf numFmtId="3" fontId="10" fillId="2" borderId="8" xfId="0" applyNumberFormat="1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wrapText="1"/>
    </xf>
    <xf numFmtId="0" fontId="1" fillId="0" borderId="35" xfId="0" applyFont="1" applyBorder="1" applyAlignment="1">
      <alignment horizontal="center" wrapText="1"/>
    </xf>
    <xf numFmtId="0" fontId="12" fillId="6" borderId="1" xfId="0" applyFont="1" applyFill="1" applyBorder="1" applyAlignment="1">
      <alignment horizontal="center"/>
    </xf>
    <xf numFmtId="0" fontId="12" fillId="6" borderId="0" xfId="0" applyFont="1" applyFill="1" applyAlignment="1">
      <alignment horizontal="center"/>
    </xf>
    <xf numFmtId="0" fontId="12" fillId="6" borderId="2" xfId="0" applyFont="1" applyFill="1" applyBorder="1" applyAlignment="1">
      <alignment horizontal="center"/>
    </xf>
    <xf numFmtId="3" fontId="10" fillId="0" borderId="31" xfId="0" applyNumberFormat="1" applyFont="1" applyBorder="1" applyAlignment="1">
      <alignment horizontal="center" wrapText="1"/>
    </xf>
    <xf numFmtId="3" fontId="1" fillId="0" borderId="36" xfId="0" applyNumberFormat="1" applyFont="1" applyBorder="1" applyAlignment="1">
      <alignment horizontal="right" wrapText="1"/>
    </xf>
    <xf numFmtId="0" fontId="1" fillId="0" borderId="38" xfId="0" applyFont="1" applyBorder="1" applyAlignment="1">
      <alignment horizontal="center" wrapText="1"/>
    </xf>
    <xf numFmtId="3" fontId="12" fillId="0" borderId="13" xfId="0" applyNumberFormat="1" applyFont="1" applyBorder="1" applyAlignment="1">
      <alignment horizontal="right"/>
    </xf>
    <xf numFmtId="0" fontId="12" fillId="0" borderId="14" xfId="0" applyFont="1" applyBorder="1" applyAlignment="1">
      <alignment horizontal="right"/>
    </xf>
    <xf numFmtId="3" fontId="12" fillId="0" borderId="12" xfId="0" applyNumberFormat="1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15" xfId="0" applyFont="1" applyBorder="1" applyAlignment="1">
      <alignment horizontal="right"/>
    </xf>
    <xf numFmtId="3" fontId="12" fillId="0" borderId="16" xfId="0" applyNumberFormat="1" applyFont="1" applyBorder="1" applyAlignment="1">
      <alignment horizontal="right"/>
    </xf>
    <xf numFmtId="0" fontId="12" fillId="0" borderId="17" xfId="0" applyFont="1" applyBorder="1" applyAlignment="1">
      <alignment horizontal="right"/>
    </xf>
    <xf numFmtId="3" fontId="1" fillId="0" borderId="36" xfId="0" applyNumberFormat="1" applyFont="1" applyBorder="1" applyAlignment="1">
      <alignment horizontal="center" wrapText="1"/>
    </xf>
    <xf numFmtId="0" fontId="1" fillId="0" borderId="39" xfId="0" applyFont="1" applyBorder="1" applyAlignment="1">
      <alignment horizontal="center" wrapText="1"/>
    </xf>
    <xf numFmtId="3" fontId="10" fillId="5" borderId="11" xfId="0" applyNumberFormat="1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3" fontId="12" fillId="6" borderId="1" xfId="0" applyNumberFormat="1" applyFont="1" applyFill="1" applyBorder="1" applyAlignment="1">
      <alignment horizontal="right" vertical="center"/>
    </xf>
    <xf numFmtId="3" fontId="12" fillId="6" borderId="0" xfId="0" applyNumberFormat="1" applyFont="1" applyFill="1" applyAlignment="1">
      <alignment horizontal="right" vertical="center"/>
    </xf>
    <xf numFmtId="3" fontId="12" fillId="6" borderId="2" xfId="0" applyNumberFormat="1" applyFont="1" applyFill="1" applyBorder="1" applyAlignment="1">
      <alignment horizontal="right" vertical="center"/>
    </xf>
    <xf numFmtId="3" fontId="12" fillId="6" borderId="1" xfId="0" applyNumberFormat="1" applyFont="1" applyFill="1" applyBorder="1" applyAlignment="1">
      <alignment horizontal="right"/>
    </xf>
    <xf numFmtId="3" fontId="12" fillId="6" borderId="0" xfId="0" applyNumberFormat="1" applyFont="1" applyFill="1" applyAlignment="1">
      <alignment horizontal="right"/>
    </xf>
    <xf numFmtId="3" fontId="12" fillId="6" borderId="2" xfId="0" applyNumberFormat="1" applyFont="1" applyFill="1" applyBorder="1" applyAlignment="1">
      <alignment horizontal="right"/>
    </xf>
    <xf numFmtId="0" fontId="9" fillId="0" borderId="12" xfId="0" applyFont="1" applyBorder="1" applyAlignment="1">
      <alignment horizontal="center" wrapText="1"/>
    </xf>
    <xf numFmtId="0" fontId="0" fillId="0" borderId="15" xfId="0" applyBorder="1"/>
    <xf numFmtId="10" fontId="13" fillId="8" borderId="3" xfId="0" applyNumberFormat="1" applyFont="1" applyFill="1" applyBorder="1" applyAlignment="1">
      <alignment horizontal="center"/>
    </xf>
    <xf numFmtId="10" fontId="13" fillId="8" borderId="26" xfId="0" applyNumberFormat="1" applyFont="1" applyFill="1" applyBorder="1" applyAlignment="1">
      <alignment horizontal="center"/>
    </xf>
    <xf numFmtId="10" fontId="13" fillId="8" borderId="23" xfId="0" applyNumberFormat="1" applyFont="1" applyFill="1" applyBorder="1" applyAlignment="1">
      <alignment horizontal="center"/>
    </xf>
    <xf numFmtId="10" fontId="13" fillId="8" borderId="40" xfId="0" applyNumberFormat="1" applyFont="1" applyFill="1" applyBorder="1" applyAlignment="1">
      <alignment horizontal="center"/>
    </xf>
    <xf numFmtId="10" fontId="9" fillId="0" borderId="35" xfId="0" applyNumberFormat="1" applyFont="1" applyBorder="1" applyAlignment="1">
      <alignment horizontal="center" wrapText="1"/>
    </xf>
    <xf numFmtId="0" fontId="9" fillId="0" borderId="39" xfId="0" applyFont="1" applyBorder="1" applyAlignment="1">
      <alignment horizontal="center" wrapText="1"/>
    </xf>
    <xf numFmtId="10" fontId="14" fillId="7" borderId="23" xfId="0" applyNumberFormat="1" applyFont="1" applyFill="1" applyBorder="1" applyAlignment="1">
      <alignment horizontal="center" vertical="center" wrapText="1"/>
    </xf>
    <xf numFmtId="0" fontId="14" fillId="7" borderId="30" xfId="0" applyFont="1" applyFill="1" applyBorder="1" applyAlignment="1">
      <alignment horizontal="center" vertical="center" wrapText="1"/>
    </xf>
    <xf numFmtId="0" fontId="14" fillId="7" borderId="9" xfId="0" applyFont="1" applyFill="1" applyBorder="1" applyAlignment="1">
      <alignment horizontal="center" vertical="center" wrapText="1"/>
    </xf>
    <xf numFmtId="0" fontId="0" fillId="0" borderId="12" xfId="0" applyBorder="1"/>
    <xf numFmtId="3" fontId="10" fillId="6" borderId="11" xfId="0" applyNumberFormat="1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3" fontId="10" fillId="6" borderId="33" xfId="0" applyNumberFormat="1" applyFont="1" applyFill="1" applyBorder="1" applyAlignment="1">
      <alignment horizontal="center" vertical="center" wrapText="1"/>
    </xf>
    <xf numFmtId="3" fontId="12" fillId="0" borderId="1" xfId="0" applyNumberFormat="1" applyFont="1" applyBorder="1" applyAlignment="1">
      <alignment horizontal="right"/>
    </xf>
    <xf numFmtId="177" fontId="12" fillId="0" borderId="1" xfId="0" applyNumberFormat="1" applyFont="1" applyBorder="1" applyAlignment="1">
      <alignment horizontal="right"/>
    </xf>
    <xf numFmtId="178" fontId="12" fillId="0" borderId="1" xfId="0" applyNumberFormat="1" applyFont="1" applyBorder="1" applyAlignment="1">
      <alignment horizontal="right"/>
    </xf>
    <xf numFmtId="3" fontId="12" fillId="0" borderId="0" xfId="0" applyNumberFormat="1" applyFont="1" applyAlignment="1">
      <alignment horizontal="right"/>
    </xf>
    <xf numFmtId="177" fontId="12" fillId="0" borderId="0" xfId="0" applyNumberFormat="1" applyFont="1" applyAlignment="1">
      <alignment horizontal="right"/>
    </xf>
    <xf numFmtId="178" fontId="12" fillId="0" borderId="0" xfId="0" applyNumberFormat="1" applyFont="1" applyAlignment="1">
      <alignment horizontal="right"/>
    </xf>
    <xf numFmtId="3" fontId="12" fillId="0" borderId="2" xfId="0" applyNumberFormat="1" applyFont="1" applyBorder="1" applyAlignment="1">
      <alignment horizontal="right"/>
    </xf>
    <xf numFmtId="177" fontId="12" fillId="0" borderId="2" xfId="0" applyNumberFormat="1" applyFont="1" applyBorder="1" applyAlignment="1">
      <alignment horizontal="right"/>
    </xf>
    <xf numFmtId="178" fontId="12" fillId="0" borderId="2" xfId="0" applyNumberFormat="1" applyFont="1" applyBorder="1" applyAlignment="1">
      <alignment horizontal="right"/>
    </xf>
    <xf numFmtId="179" fontId="12" fillId="0" borderId="1" xfId="0" applyNumberFormat="1" applyFont="1" applyBorder="1" applyAlignment="1">
      <alignment horizontal="right"/>
    </xf>
    <xf numFmtId="179" fontId="12" fillId="0" borderId="14" xfId="0" applyNumberFormat="1" applyFont="1" applyBorder="1" applyAlignment="1">
      <alignment horizontal="right"/>
    </xf>
    <xf numFmtId="179" fontId="12" fillId="0" borderId="0" xfId="0" applyNumberFormat="1" applyFont="1" applyAlignment="1">
      <alignment horizontal="right"/>
    </xf>
    <xf numFmtId="179" fontId="12" fillId="0" borderId="15" xfId="0" applyNumberFormat="1" applyFont="1" applyBorder="1" applyAlignment="1">
      <alignment horizontal="right"/>
    </xf>
    <xf numFmtId="179" fontId="12" fillId="0" borderId="2" xfId="0" applyNumberFormat="1" applyFont="1" applyBorder="1" applyAlignment="1">
      <alignment horizontal="right"/>
    </xf>
    <xf numFmtId="179" fontId="12" fillId="0" borderId="17" xfId="0" applyNumberFormat="1" applyFont="1" applyBorder="1" applyAlignment="1">
      <alignment horizontal="right"/>
    </xf>
    <xf numFmtId="0" fontId="17" fillId="0" borderId="0" xfId="0" applyFont="1"/>
    <xf numFmtId="0" fontId="18" fillId="0" borderId="0" xfId="0" applyFont="1"/>
    <xf numFmtId="1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 vertical="center"/>
    </xf>
    <xf numFmtId="0" fontId="17" fillId="11" borderId="6" xfId="0" applyFont="1" applyFill="1" applyBorder="1" applyAlignment="1">
      <alignment horizontal="center"/>
    </xf>
    <xf numFmtId="14" fontId="17" fillId="9" borderId="6" xfId="0" quotePrefix="1" applyNumberFormat="1" applyFont="1" applyFill="1" applyBorder="1" applyAlignment="1">
      <alignment horizontal="center"/>
    </xf>
    <xf numFmtId="0" fontId="21" fillId="6" borderId="19" xfId="0" applyFont="1" applyFill="1" applyBorder="1" applyAlignment="1">
      <alignment horizontal="center" vertical="center"/>
    </xf>
    <xf numFmtId="0" fontId="21" fillId="6" borderId="54" xfId="0" applyFont="1" applyFill="1" applyBorder="1" applyAlignment="1">
      <alignment horizontal="center" vertical="center"/>
    </xf>
    <xf numFmtId="10" fontId="21" fillId="0" borderId="31" xfId="0" applyNumberFormat="1" applyFont="1" applyBorder="1" applyAlignment="1">
      <alignment horizontal="center" vertical="center"/>
    </xf>
    <xf numFmtId="10" fontId="21" fillId="0" borderId="1" xfId="0" applyNumberFormat="1" applyFont="1" applyBorder="1" applyAlignment="1">
      <alignment horizontal="center" vertical="center"/>
    </xf>
    <xf numFmtId="10" fontId="21" fillId="0" borderId="58" xfId="0" applyNumberFormat="1" applyFont="1" applyBorder="1" applyAlignment="1">
      <alignment horizontal="center" vertical="center"/>
    </xf>
    <xf numFmtId="10" fontId="21" fillId="0" borderId="56" xfId="0" applyNumberFormat="1" applyFont="1" applyBorder="1" applyAlignment="1">
      <alignment horizontal="center" vertical="center"/>
    </xf>
    <xf numFmtId="10" fontId="21" fillId="0" borderId="0" xfId="0" applyNumberFormat="1" applyFont="1" applyAlignment="1">
      <alignment horizontal="center" vertical="center"/>
    </xf>
    <xf numFmtId="10" fontId="21" fillId="0" borderId="32" xfId="0" applyNumberFormat="1" applyFont="1" applyBorder="1" applyAlignment="1">
      <alignment horizontal="center" vertical="center"/>
    </xf>
    <xf numFmtId="10" fontId="21" fillId="0" borderId="46" xfId="0" applyNumberFormat="1" applyFont="1" applyBorder="1" applyAlignment="1">
      <alignment horizontal="center" vertical="center"/>
    </xf>
    <xf numFmtId="10" fontId="21" fillId="0" borderId="47" xfId="0" applyNumberFormat="1" applyFont="1" applyBorder="1" applyAlignment="1">
      <alignment horizontal="center" vertical="center"/>
    </xf>
    <xf numFmtId="10" fontId="21" fillId="0" borderId="48" xfId="0" applyNumberFormat="1" applyFont="1" applyBorder="1" applyAlignment="1">
      <alignment horizontal="center" vertical="center"/>
    </xf>
    <xf numFmtId="10" fontId="21" fillId="0" borderId="14" xfId="0" applyNumberFormat="1" applyFont="1" applyBorder="1" applyAlignment="1">
      <alignment horizontal="center" vertical="center"/>
    </xf>
    <xf numFmtId="10" fontId="21" fillId="0" borderId="15" xfId="0" applyNumberFormat="1" applyFont="1" applyBorder="1" applyAlignment="1">
      <alignment horizontal="center" vertical="center"/>
    </xf>
    <xf numFmtId="10" fontId="21" fillId="0" borderId="52" xfId="0" applyNumberFormat="1" applyFont="1" applyBorder="1" applyAlignment="1">
      <alignment horizontal="center" vertical="center"/>
    </xf>
    <xf numFmtId="10" fontId="21" fillId="0" borderId="43" xfId="0" applyNumberFormat="1" applyFont="1" applyBorder="1" applyAlignment="1">
      <alignment horizontal="center" vertical="center"/>
    </xf>
    <xf numFmtId="10" fontId="21" fillId="0" borderId="44" xfId="0" applyNumberFormat="1" applyFont="1" applyBorder="1" applyAlignment="1">
      <alignment horizontal="center" vertical="center"/>
    </xf>
    <xf numFmtId="10" fontId="21" fillId="0" borderId="45" xfId="0" applyNumberFormat="1" applyFont="1" applyBorder="1" applyAlignment="1">
      <alignment horizontal="center" vertical="center"/>
    </xf>
    <xf numFmtId="10" fontId="21" fillId="0" borderId="50" xfId="0" applyNumberFormat="1" applyFont="1" applyBorder="1" applyAlignment="1">
      <alignment horizontal="center" vertical="center"/>
    </xf>
    <xf numFmtId="10" fontId="21" fillId="0" borderId="34" xfId="0" applyNumberFormat="1" applyFont="1" applyBorder="1" applyAlignment="1">
      <alignment horizontal="center" vertical="center"/>
    </xf>
    <xf numFmtId="10" fontId="21" fillId="0" borderId="2" xfId="0" applyNumberFormat="1" applyFont="1" applyBorder="1" applyAlignment="1">
      <alignment horizontal="center" vertical="center"/>
    </xf>
    <xf numFmtId="10" fontId="21" fillId="0" borderId="33" xfId="0" applyNumberFormat="1" applyFont="1" applyBorder="1" applyAlignment="1">
      <alignment horizontal="center" vertical="center"/>
    </xf>
    <xf numFmtId="10" fontId="21" fillId="0" borderId="17" xfId="0" applyNumberFormat="1" applyFont="1" applyBorder="1" applyAlignment="1">
      <alignment horizontal="center" vertical="center"/>
    </xf>
    <xf numFmtId="10" fontId="13" fillId="8" borderId="4" xfId="0" applyNumberFormat="1" applyFont="1" applyFill="1" applyBorder="1" applyAlignment="1">
      <alignment horizontal="center"/>
    </xf>
    <xf numFmtId="10" fontId="13" fillId="8" borderId="5" xfId="0" applyNumberFormat="1" applyFont="1" applyFill="1" applyBorder="1" applyAlignment="1">
      <alignment horizontal="center"/>
    </xf>
    <xf numFmtId="10" fontId="13" fillId="8" borderId="6" xfId="0" applyNumberFormat="1" applyFont="1" applyFill="1" applyBorder="1" applyAlignment="1">
      <alignment horizontal="center"/>
    </xf>
    <xf numFmtId="10" fontId="13" fillId="8" borderId="7" xfId="0" applyNumberFormat="1" applyFont="1" applyFill="1" applyBorder="1" applyAlignment="1">
      <alignment horizontal="center"/>
    </xf>
    <xf numFmtId="10" fontId="13" fillId="8" borderId="24" xfId="0" applyNumberFormat="1" applyFont="1" applyFill="1" applyBorder="1" applyAlignment="1">
      <alignment horizontal="center"/>
    </xf>
    <xf numFmtId="10" fontId="13" fillId="8" borderId="25" xfId="0" applyNumberFormat="1" applyFont="1" applyFill="1" applyBorder="1" applyAlignment="1">
      <alignment horizontal="center"/>
    </xf>
    <xf numFmtId="10" fontId="13" fillId="8" borderId="8" xfId="0" applyNumberFormat="1" applyFont="1" applyFill="1" applyBorder="1" applyAlignment="1">
      <alignment horizontal="center"/>
    </xf>
    <xf numFmtId="10" fontId="13" fillId="8" borderId="9" xfId="0" applyNumberFormat="1" applyFont="1" applyFill="1" applyBorder="1" applyAlignment="1">
      <alignment horizontal="center"/>
    </xf>
    <xf numFmtId="10" fontId="21" fillId="0" borderId="13" xfId="0" applyNumberFormat="1" applyFont="1" applyBorder="1" applyAlignment="1">
      <alignment horizontal="center" vertical="center"/>
    </xf>
    <xf numFmtId="10" fontId="21" fillId="0" borderId="12" xfId="0" applyNumberFormat="1" applyFont="1" applyBorder="1" applyAlignment="1">
      <alignment horizontal="center" vertical="center"/>
    </xf>
    <xf numFmtId="10" fontId="21" fillId="0" borderId="51" xfId="0" applyNumberFormat="1" applyFont="1" applyBorder="1" applyAlignment="1">
      <alignment horizontal="center" vertical="center"/>
    </xf>
    <xf numFmtId="10" fontId="21" fillId="0" borderId="49" xfId="0" applyNumberFormat="1" applyFont="1" applyBorder="1" applyAlignment="1">
      <alignment horizontal="center" vertical="center"/>
    </xf>
    <xf numFmtId="10" fontId="21" fillId="0" borderId="16" xfId="0" applyNumberFormat="1" applyFont="1" applyBorder="1" applyAlignment="1">
      <alignment horizontal="center" vertical="center"/>
    </xf>
    <xf numFmtId="0" fontId="21" fillId="8" borderId="40" xfId="0" applyFont="1" applyFill="1" applyBorder="1" applyAlignment="1">
      <alignment vertical="center"/>
    </xf>
    <xf numFmtId="0" fontId="21" fillId="8" borderId="55" xfId="0" applyFont="1" applyFill="1" applyBorder="1" applyAlignment="1">
      <alignment vertical="center"/>
    </xf>
    <xf numFmtId="0" fontId="22" fillId="3" borderId="0" xfId="0" applyFont="1" applyFill="1" applyAlignment="1">
      <alignment horizontal="right" wrapText="1"/>
    </xf>
    <xf numFmtId="0" fontId="22" fillId="10" borderId="0" xfId="0" applyFont="1" applyFill="1" applyAlignment="1">
      <alignment horizontal="right" wrapText="1"/>
    </xf>
    <xf numFmtId="10" fontId="23" fillId="6" borderId="40" xfId="0" applyNumberFormat="1" applyFont="1" applyFill="1" applyBorder="1" applyAlignment="1">
      <alignment horizontal="center" vertical="center"/>
    </xf>
    <xf numFmtId="10" fontId="23" fillId="6" borderId="24" xfId="0" applyNumberFormat="1" applyFont="1" applyFill="1" applyBorder="1" applyAlignment="1">
      <alignment horizontal="center" vertical="center"/>
    </xf>
    <xf numFmtId="10" fontId="23" fillId="6" borderId="25" xfId="0" applyNumberFormat="1" applyFont="1" applyFill="1" applyBorder="1" applyAlignment="1">
      <alignment horizontal="center" vertical="center"/>
    </xf>
    <xf numFmtId="0" fontId="20" fillId="6" borderId="57" xfId="0" applyFont="1" applyFill="1" applyBorder="1" applyAlignment="1">
      <alignment horizontal="center" vertical="center"/>
    </xf>
    <xf numFmtId="0" fontId="20" fillId="6" borderId="60" xfId="0" applyFont="1" applyFill="1" applyBorder="1" applyAlignment="1">
      <alignment horizontal="center" vertical="center"/>
    </xf>
    <xf numFmtId="0" fontId="21" fillId="8" borderId="23" xfId="0" applyFont="1" applyFill="1" applyBorder="1" applyAlignment="1">
      <alignment vertical="center"/>
    </xf>
    <xf numFmtId="0" fontId="15" fillId="3" borderId="8" xfId="0" applyFont="1" applyFill="1" applyBorder="1" applyAlignment="1">
      <alignment horizontal="center" vertical="center" wrapText="1"/>
    </xf>
    <xf numFmtId="0" fontId="15" fillId="3" borderId="9" xfId="0" applyFont="1" applyFill="1" applyBorder="1" applyAlignment="1">
      <alignment horizontal="center" vertical="center" wrapText="1"/>
    </xf>
    <xf numFmtId="0" fontId="15" fillId="9" borderId="8" xfId="0" applyFont="1" applyFill="1" applyBorder="1" applyAlignment="1">
      <alignment horizontal="center" vertical="center" wrapText="1"/>
    </xf>
    <xf numFmtId="0" fontId="15" fillId="9" borderId="61" xfId="0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180" fontId="19" fillId="0" borderId="15" xfId="0" applyNumberFormat="1" applyFont="1" applyBorder="1" applyAlignment="1">
      <alignment horizontal="center"/>
    </xf>
    <xf numFmtId="180" fontId="19" fillId="0" borderId="17" xfId="0" applyNumberFormat="1" applyFont="1" applyBorder="1" applyAlignment="1">
      <alignment horizontal="center"/>
    </xf>
    <xf numFmtId="180" fontId="19" fillId="0" borderId="1" xfId="0" applyNumberFormat="1" applyFont="1" applyBorder="1" applyAlignment="1">
      <alignment horizontal="center"/>
    </xf>
    <xf numFmtId="181" fontId="19" fillId="0" borderId="31" xfId="0" applyNumberFormat="1" applyFont="1" applyBorder="1" applyAlignment="1">
      <alignment horizontal="center"/>
    </xf>
    <xf numFmtId="181" fontId="19" fillId="0" borderId="1" xfId="0" applyNumberFormat="1" applyFont="1" applyBorder="1" applyAlignment="1">
      <alignment horizontal="center"/>
    </xf>
    <xf numFmtId="181" fontId="19" fillId="0" borderId="56" xfId="0" applyNumberFormat="1" applyFont="1" applyBorder="1" applyAlignment="1">
      <alignment horizontal="center"/>
    </xf>
    <xf numFmtId="181" fontId="19" fillId="0" borderId="0" xfId="0" applyNumberFormat="1" applyFont="1" applyAlignment="1">
      <alignment horizontal="center"/>
    </xf>
    <xf numFmtId="181" fontId="19" fillId="0" borderId="34" xfId="0" applyNumberFormat="1" applyFont="1" applyBorder="1" applyAlignment="1">
      <alignment horizontal="center"/>
    </xf>
    <xf numFmtId="181" fontId="19" fillId="0" borderId="2" xfId="0" applyNumberFormat="1" applyFont="1" applyBorder="1" applyAlignment="1">
      <alignment horizontal="center"/>
    </xf>
    <xf numFmtId="1" fontId="15" fillId="3" borderId="23" xfId="0" applyNumberFormat="1" applyFont="1" applyFill="1" applyBorder="1" applyAlignment="1">
      <alignment horizontal="center" vertical="center"/>
    </xf>
    <xf numFmtId="1" fontId="15" fillId="3" borderId="8" xfId="0" applyNumberFormat="1" applyFont="1" applyFill="1" applyBorder="1" applyAlignment="1">
      <alignment horizontal="center" vertical="center"/>
    </xf>
    <xf numFmtId="1" fontId="15" fillId="9" borderId="30" xfId="0" applyNumberFormat="1" applyFont="1" applyFill="1" applyBorder="1" applyAlignment="1">
      <alignment horizontal="center" vertical="center"/>
    </xf>
    <xf numFmtId="1" fontId="15" fillId="9" borderId="8" xfId="0" applyNumberFormat="1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14" fontId="15" fillId="6" borderId="8" xfId="0" applyNumberFormat="1" applyFont="1" applyFill="1" applyBorder="1" applyAlignment="1">
      <alignment horizontal="center"/>
    </xf>
    <xf numFmtId="0" fontId="0" fillId="0" borderId="53" xfId="0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6" fontId="19" fillId="0" borderId="13" xfId="0" applyNumberFormat="1" applyFont="1" applyBorder="1" applyAlignment="1">
      <alignment horizontal="center" vertical="center"/>
    </xf>
    <xf numFmtId="176" fontId="19" fillId="0" borderId="58" xfId="0" applyNumberFormat="1" applyFont="1" applyBorder="1" applyAlignment="1">
      <alignment horizontal="center" vertical="center"/>
    </xf>
    <xf numFmtId="10" fontId="19" fillId="0" borderId="29" xfId="0" applyNumberFormat="1" applyFont="1" applyBorder="1" applyAlignment="1">
      <alignment horizontal="center" vertical="center"/>
    </xf>
    <xf numFmtId="10" fontId="19" fillId="0" borderId="62" xfId="0" applyNumberFormat="1" applyFont="1" applyBorder="1" applyAlignment="1">
      <alignment horizontal="center" vertical="center"/>
    </xf>
    <xf numFmtId="10" fontId="19" fillId="0" borderId="27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2" fontId="0" fillId="0" borderId="56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6" fontId="19" fillId="0" borderId="12" xfId="0" applyNumberFormat="1" applyFont="1" applyBorder="1" applyAlignment="1">
      <alignment horizontal="center" vertical="center"/>
    </xf>
    <xf numFmtId="176" fontId="19" fillId="0" borderId="32" xfId="0" applyNumberFormat="1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6" fontId="19" fillId="0" borderId="16" xfId="0" applyNumberFormat="1" applyFont="1" applyBorder="1" applyAlignment="1">
      <alignment horizontal="center" vertical="center"/>
    </xf>
    <xf numFmtId="176" fontId="19" fillId="0" borderId="33" xfId="0" applyNumberFormat="1" applyFont="1" applyBorder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0" fontId="15" fillId="6" borderId="61" xfId="0" applyFont="1" applyFill="1" applyBorder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10" fontId="19" fillId="0" borderId="28" xfId="0" applyNumberFormat="1" applyFont="1" applyBorder="1" applyAlignment="1">
      <alignment horizontal="center" vertical="center"/>
    </xf>
    <xf numFmtId="10" fontId="22" fillId="3" borderId="0" xfId="0" applyNumberFormat="1" applyFont="1" applyFill="1" applyAlignment="1">
      <alignment horizontal="left" wrapText="1"/>
    </xf>
    <xf numFmtId="10" fontId="22" fillId="10" borderId="0" xfId="0" applyNumberFormat="1" applyFont="1" applyFill="1" applyAlignment="1">
      <alignment horizontal="left" wrapText="1"/>
    </xf>
    <xf numFmtId="0" fontId="23" fillId="6" borderId="21" xfId="0" applyFont="1" applyFill="1" applyBorder="1" applyAlignment="1">
      <alignment horizontal="center" vertical="center" wrapText="1"/>
    </xf>
    <xf numFmtId="0" fontId="23" fillId="6" borderId="45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23" fillId="6" borderId="24" xfId="0" applyFont="1" applyFill="1" applyBorder="1" applyAlignment="1">
      <alignment horizontal="center" vertical="center" wrapText="1"/>
    </xf>
    <xf numFmtId="10" fontId="23" fillId="6" borderId="19" xfId="0" applyNumberFormat="1" applyFont="1" applyFill="1" applyBorder="1" applyAlignment="1">
      <alignment horizontal="center" vertical="center"/>
    </xf>
    <xf numFmtId="10" fontId="23" fillId="6" borderId="20" xfId="0" applyNumberFormat="1" applyFont="1" applyFill="1" applyBorder="1" applyAlignment="1">
      <alignment horizontal="center" vertical="center"/>
    </xf>
    <xf numFmtId="10" fontId="23" fillId="6" borderId="2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wrapText="1"/>
    </xf>
    <xf numFmtId="0" fontId="23" fillId="6" borderId="25" xfId="0" applyFont="1" applyFill="1" applyBorder="1" applyAlignment="1">
      <alignment horizontal="center" vertical="center" wrapText="1"/>
    </xf>
    <xf numFmtId="10" fontId="23" fillId="6" borderId="3" xfId="0" applyNumberFormat="1" applyFont="1" applyFill="1" applyBorder="1" applyAlignment="1">
      <alignment horizontal="center" vertical="center"/>
    </xf>
    <xf numFmtId="10" fontId="23" fillId="6" borderId="4" xfId="0" applyNumberFormat="1" applyFont="1" applyFill="1" applyBorder="1" applyAlignment="1">
      <alignment horizontal="center" vertical="center"/>
    </xf>
    <xf numFmtId="0" fontId="23" fillId="6" borderId="19" xfId="0" applyFont="1" applyFill="1" applyBorder="1" applyAlignment="1">
      <alignment horizontal="center" vertical="center"/>
    </xf>
    <xf numFmtId="0" fontId="23" fillId="6" borderId="43" xfId="0" applyFont="1" applyFill="1" applyBorder="1" applyAlignment="1">
      <alignment horizontal="center" vertical="center"/>
    </xf>
    <xf numFmtId="0" fontId="20" fillId="6" borderId="26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3" fillId="6" borderId="40" xfId="0" applyFont="1" applyFill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10" fontId="15" fillId="10" borderId="2" xfId="0" applyNumberFormat="1" applyFont="1" applyFill="1" applyBorder="1" applyAlignment="1">
      <alignment horizontal="center" vertical="center"/>
    </xf>
    <xf numFmtId="14" fontId="0" fillId="6" borderId="36" xfId="0" applyNumberFormat="1" applyFill="1" applyBorder="1" applyAlignment="1">
      <alignment horizontal="center" vertical="center"/>
    </xf>
    <xf numFmtId="14" fontId="0" fillId="6" borderId="55" xfId="0" applyNumberFormat="1" applyFill="1" applyBorder="1" applyAlignment="1">
      <alignment horizontal="center" vertical="center"/>
    </xf>
    <xf numFmtId="14" fontId="0" fillId="6" borderId="37" xfId="0" applyNumberForma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6" borderId="36" xfId="0" applyFont="1" applyFill="1" applyBorder="1" applyAlignment="1">
      <alignment horizontal="center" vertical="center"/>
    </xf>
    <xf numFmtId="0" fontId="15" fillId="6" borderId="55" xfId="0" applyFont="1" applyFill="1" applyBorder="1" applyAlignment="1">
      <alignment horizontal="center" vertical="center"/>
    </xf>
    <xf numFmtId="0" fontId="15" fillId="6" borderId="37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10" fontId="15" fillId="3" borderId="28" xfId="0" applyNumberFormat="1" applyFont="1" applyFill="1" applyBorder="1" applyAlignment="1">
      <alignment horizontal="center" vertical="center"/>
    </xf>
    <xf numFmtId="10" fontId="15" fillId="3" borderId="29" xfId="0" applyNumberFormat="1" applyFont="1" applyFill="1" applyBorder="1" applyAlignment="1">
      <alignment horizontal="center" vertical="center"/>
    </xf>
    <xf numFmtId="10" fontId="15" fillId="3" borderId="27" xfId="0" applyNumberFormat="1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/>
    </xf>
    <xf numFmtId="0" fontId="15" fillId="6" borderId="36" xfId="0" applyFont="1" applyFill="1" applyBorder="1" applyAlignment="1">
      <alignment horizontal="center"/>
    </xf>
    <xf numFmtId="0" fontId="15" fillId="6" borderId="18" xfId="0" applyFont="1" applyFill="1" applyBorder="1" applyAlignment="1">
      <alignment horizontal="center"/>
    </xf>
    <xf numFmtId="0" fontId="15" fillId="6" borderId="38" xfId="0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3" fontId="10" fillId="2" borderId="19" xfId="0" applyNumberFormat="1" applyFont="1" applyFill="1" applyBorder="1" applyAlignment="1">
      <alignment horizontal="center" vertical="center" wrapText="1"/>
    </xf>
    <xf numFmtId="3" fontId="10" fillId="2" borderId="20" xfId="0" applyNumberFormat="1" applyFont="1" applyFill="1" applyBorder="1" applyAlignment="1">
      <alignment horizontal="center" vertical="center" wrapText="1"/>
    </xf>
    <xf numFmtId="3" fontId="10" fillId="2" borderId="21" xfId="0" applyNumberFormat="1" applyFont="1" applyFill="1" applyBorder="1" applyAlignment="1">
      <alignment horizontal="center" vertical="center" wrapText="1"/>
    </xf>
    <xf numFmtId="3" fontId="10" fillId="5" borderId="19" xfId="0" applyNumberFormat="1" applyFont="1" applyFill="1" applyBorder="1" applyAlignment="1">
      <alignment horizontal="center" vertical="center" wrapText="1"/>
    </xf>
    <xf numFmtId="3" fontId="10" fillId="5" borderId="20" xfId="0" applyNumberFormat="1" applyFont="1" applyFill="1" applyBorder="1" applyAlignment="1">
      <alignment horizontal="center" vertical="center" wrapText="1"/>
    </xf>
    <xf numFmtId="3" fontId="10" fillId="5" borderId="21" xfId="0" applyNumberFormat="1" applyFont="1" applyFill="1" applyBorder="1" applyAlignment="1">
      <alignment horizontal="center" vertical="center" wrapText="1"/>
    </xf>
    <xf numFmtId="3" fontId="10" fillId="5" borderId="3" xfId="0" applyNumberFormat="1" applyFont="1" applyFill="1" applyBorder="1" applyAlignment="1">
      <alignment horizontal="center" vertical="center" wrapText="1"/>
    </xf>
    <xf numFmtId="3" fontId="10" fillId="5" borderId="23" xfId="0" applyNumberFormat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3" fontId="10" fillId="2" borderId="3" xfId="0" applyNumberFormat="1" applyFont="1" applyFill="1" applyBorder="1" applyAlignment="1">
      <alignment horizontal="center" vertical="center" wrapText="1"/>
    </xf>
    <xf numFmtId="3" fontId="10" fillId="2" borderId="23" xfId="0" applyNumberFormat="1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3" fontId="10" fillId="4" borderId="31" xfId="0" applyNumberFormat="1" applyFont="1" applyFill="1" applyBorder="1" applyAlignment="1">
      <alignment horizontal="center" vertical="center" wrapText="1"/>
    </xf>
    <xf numFmtId="3" fontId="10" fillId="4" borderId="34" xfId="0" applyNumberFormat="1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/>
    </xf>
    <xf numFmtId="0" fontId="12" fillId="4" borderId="41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42" xfId="0" applyFont="1" applyFill="1" applyBorder="1" applyAlignment="1">
      <alignment horizontal="center" vertical="center" wrapText="1"/>
    </xf>
    <xf numFmtId="0" fontId="14" fillId="7" borderId="20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0" fontId="10" fillId="4" borderId="31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2" borderId="38" xfId="0" applyFont="1" applyFill="1" applyBorder="1" applyAlignment="1">
      <alignment horizontal="center" vertical="center" wrapText="1"/>
    </xf>
    <xf numFmtId="0" fontId="10" fillId="5" borderId="36" xfId="0" applyFont="1" applyFill="1" applyBorder="1" applyAlignment="1">
      <alignment horizontal="center"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5" borderId="38" xfId="0" applyFont="1" applyFill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3" fontId="10" fillId="6" borderId="3" xfId="0" applyNumberFormat="1" applyFont="1" applyFill="1" applyBorder="1" applyAlignment="1">
      <alignment horizontal="center" vertical="center" wrapText="1"/>
    </xf>
    <xf numFmtId="3" fontId="10" fillId="6" borderId="23" xfId="0" applyNumberFormat="1" applyFont="1" applyFill="1" applyBorder="1" applyAlignment="1">
      <alignment horizontal="center" vertical="center" wrapText="1"/>
    </xf>
    <xf numFmtId="3" fontId="10" fillId="6" borderId="20" xfId="0" applyNumberFormat="1" applyFont="1" applyFill="1" applyBorder="1" applyAlignment="1">
      <alignment horizontal="center" vertical="center" wrapText="1"/>
    </xf>
    <xf numFmtId="3" fontId="10" fillId="6" borderId="21" xfId="0" applyNumberFormat="1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</cellXfs>
  <cellStyles count="3">
    <cellStyle name="百分比 2" xfId="2" xr:uid="{00000000-0005-0000-0000-000001000000}"/>
    <cellStyle name="常规" xfId="0" builtinId="0"/>
    <cellStyle name="常规 2" xfId="1" xr:uid="{00000000-0005-0000-0000-000003000000}"/>
  </cellStyles>
  <dxfs count="117"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numFmt numFmtId="182" formatCode="000000"/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F3D5"/>
      <color rgb="FFFFDF93"/>
      <color rgb="FFE4DFEC"/>
      <color rgb="FFCAE8AA"/>
      <color rgb="FFCCFF99"/>
      <color rgb="FFCCFFCC"/>
      <color rgb="FFFEDEDC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cinema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 pcrm-v12.0-predict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Graph!$H$4:$H$8</c:f>
              <c:numCache>
                <c:formatCode>#,##0</c:formatCode>
                <c:ptCount val="5"/>
                <c:pt idx="0">
                  <c:v>84266664</c:v>
                </c:pt>
                <c:pt idx="1">
                  <c:v>106491576</c:v>
                </c:pt>
                <c:pt idx="2">
                  <c:v>129190712</c:v>
                </c:pt>
                <c:pt idx="3">
                  <c:v>154661432</c:v>
                </c:pt>
                <c:pt idx="4">
                  <c:v>174308632</c:v>
                </c:pt>
              </c:numCache>
            </c:numRef>
          </c:xVal>
          <c:yVal>
            <c:numRef>
              <c:f>Graph!$J$4:$J$8</c:f>
              <c:numCache>
                <c:formatCode>0.00</c:formatCode>
                <c:ptCount val="5"/>
                <c:pt idx="0">
                  <c:v>45.851892985733997</c:v>
                </c:pt>
                <c:pt idx="1">
                  <c:v>50.219854395524997</c:v>
                </c:pt>
                <c:pt idx="2">
                  <c:v>52.161300304370002</c:v>
                </c:pt>
                <c:pt idx="3">
                  <c:v>54.125624925003997</c:v>
                </c:pt>
                <c:pt idx="4">
                  <c:v>54.316658858019998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30-41AF-A306-1EF13A334BD3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 pcrm-v12.0-transform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Graph!$M$4:$M$8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Graph!$O$4:$O$8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30-41AF-A306-1EF13A334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Total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Graph!$J$3</c:f>
              <c:strCache>
                <c:ptCount val="1"/>
                <c:pt idx="0">
                  <c:v>RGB-PSNR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cinema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 pcrm-v12.0-predict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Graph!$H$4:$H$8</c:f>
              <c:numCache>
                <c:formatCode>#,##0</c:formatCode>
                <c:ptCount val="5"/>
                <c:pt idx="0">
                  <c:v>84266664</c:v>
                </c:pt>
                <c:pt idx="1">
                  <c:v>106491576</c:v>
                </c:pt>
                <c:pt idx="2">
                  <c:v>129190712</c:v>
                </c:pt>
                <c:pt idx="3">
                  <c:v>154661432</c:v>
                </c:pt>
                <c:pt idx="4">
                  <c:v>174308632</c:v>
                </c:pt>
              </c:numCache>
            </c:numRef>
          </c:xVal>
          <c:yVal>
            <c:numRef>
              <c:f>Graph!$K$4:$K$8</c:f>
              <c:numCache>
                <c:formatCode>0.00</c:formatCode>
                <c:ptCount val="5"/>
                <c:pt idx="0">
                  <c:v>50.382913730417997</c:v>
                </c:pt>
                <c:pt idx="1">
                  <c:v>54.440974162023998</c:v>
                </c:pt>
                <c:pt idx="2">
                  <c:v>56.245320505138999</c:v>
                </c:pt>
                <c:pt idx="3">
                  <c:v>58.106914070586001</c:v>
                </c:pt>
                <c:pt idx="4">
                  <c:v>58.266802136583003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60-441B-A0C5-9DD9F29F41A6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 pcrm-v12.0-transform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Graph!$M$4:$M$8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Graph!$P$4:$P$8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60-441B-A0C5-9DD9F29F4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Total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Graph!$K$3</c:f>
              <c:strCache>
                <c:ptCount val="1"/>
                <c:pt idx="0">
                  <c:v>YUV-PSNR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cinema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 pcrm-v12.0-predict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Graph!$H$4:$H$8</c:f>
              <c:numCache>
                <c:formatCode>#,##0</c:formatCode>
                <c:ptCount val="5"/>
                <c:pt idx="0">
                  <c:v>84266664</c:v>
                </c:pt>
                <c:pt idx="1">
                  <c:v>106491576</c:v>
                </c:pt>
                <c:pt idx="2">
                  <c:v>129190712</c:v>
                </c:pt>
                <c:pt idx="3">
                  <c:v>154661432</c:v>
                </c:pt>
                <c:pt idx="4">
                  <c:v>174308632</c:v>
                </c:pt>
              </c:numCache>
            </c:numRef>
          </c:xVal>
          <c:yVal>
            <c:numRef>
              <c:f>Graph!$L$4:$L$8</c:f>
              <c:numCache>
                <c:formatCode>0.000000</c:formatCode>
                <c:ptCount val="5"/>
                <c:pt idx="0">
                  <c:v>0.99782449234600001</c:v>
                </c:pt>
                <c:pt idx="1">
                  <c:v>0.99859388370199997</c:v>
                </c:pt>
                <c:pt idx="2">
                  <c:v>0.99884772958199997</c:v>
                </c:pt>
                <c:pt idx="3">
                  <c:v>0.99918198970500005</c:v>
                </c:pt>
                <c:pt idx="4">
                  <c:v>0.99922174590199997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4C-4174-9282-C84BE2A0BB4B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 pcrm-v12.0-transform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Graph!$M$4:$M$8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Graph!$Q$4:$Q$8</c:f>
              <c:numCache>
                <c:formatCode>0.000000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4C-4174-9282-C84BE2A0B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Total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Graph!$L$3</c:f>
              <c:strCache>
                <c:ptCount val="1"/>
                <c:pt idx="0">
                  <c:v>YUV-SSIM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cinema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 pcrm-v12.0-predict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Graph!$I$4:$I$8</c:f>
              <c:numCache>
                <c:formatCode>#,##0</c:formatCode>
                <c:ptCount val="5"/>
                <c:pt idx="0">
                  <c:v>76005464</c:v>
                </c:pt>
                <c:pt idx="1">
                  <c:v>98230392</c:v>
                </c:pt>
                <c:pt idx="2">
                  <c:v>120929568</c:v>
                </c:pt>
                <c:pt idx="3">
                  <c:v>146400360</c:v>
                </c:pt>
                <c:pt idx="4">
                  <c:v>166047592</c:v>
                </c:pt>
              </c:numCache>
            </c:numRef>
          </c:xVal>
          <c:yVal>
            <c:numRef>
              <c:f>Graph!$J$4:$J$8</c:f>
              <c:numCache>
                <c:formatCode>0.00</c:formatCode>
                <c:ptCount val="5"/>
                <c:pt idx="0">
                  <c:v>45.851892985733997</c:v>
                </c:pt>
                <c:pt idx="1">
                  <c:v>50.219854395524997</c:v>
                </c:pt>
                <c:pt idx="2">
                  <c:v>52.161300304370002</c:v>
                </c:pt>
                <c:pt idx="3">
                  <c:v>54.125624925003997</c:v>
                </c:pt>
                <c:pt idx="4">
                  <c:v>54.316658858019998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2B-492B-B591-61EFC38DC42B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 pcrm-v12.0-transform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Graph!$N$4:$N$8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Graph!$O$4:$O$8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2B-492B-B591-61EFC38DC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Attr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Graph!$J$3</c:f>
              <c:strCache>
                <c:ptCount val="1"/>
                <c:pt idx="0">
                  <c:v>RGB-PSNR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cinema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 pcrm-v12.0-predict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Graph!$I$4:$I$8</c:f>
              <c:numCache>
                <c:formatCode>#,##0</c:formatCode>
                <c:ptCount val="5"/>
                <c:pt idx="0">
                  <c:v>76005464</c:v>
                </c:pt>
                <c:pt idx="1">
                  <c:v>98230392</c:v>
                </c:pt>
                <c:pt idx="2">
                  <c:v>120929568</c:v>
                </c:pt>
                <c:pt idx="3">
                  <c:v>146400360</c:v>
                </c:pt>
                <c:pt idx="4">
                  <c:v>166047592</c:v>
                </c:pt>
              </c:numCache>
            </c:numRef>
          </c:xVal>
          <c:yVal>
            <c:numRef>
              <c:f>Graph!$K$4:$K$8</c:f>
              <c:numCache>
                <c:formatCode>0.00</c:formatCode>
                <c:ptCount val="5"/>
                <c:pt idx="0">
                  <c:v>50.382913730417997</c:v>
                </c:pt>
                <c:pt idx="1">
                  <c:v>54.440974162023998</c:v>
                </c:pt>
                <c:pt idx="2">
                  <c:v>56.245320505138999</c:v>
                </c:pt>
                <c:pt idx="3">
                  <c:v>58.106914070586001</c:v>
                </c:pt>
                <c:pt idx="4">
                  <c:v>58.266802136583003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3-400E-805C-64559F2C37E6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 pcrm-v12.0-transform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Graph!$N$4:$N$8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Graph!$P$4:$P$8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3-400E-805C-64559F2C3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Attr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Graph!$K$3</c:f>
              <c:strCache>
                <c:ptCount val="1"/>
                <c:pt idx="0">
                  <c:v>YUV-PSNR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cinema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 pcrm-v12.0-predict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Graph!$I$4:$I$8</c:f>
              <c:numCache>
                <c:formatCode>#,##0</c:formatCode>
                <c:ptCount val="5"/>
                <c:pt idx="0">
                  <c:v>76005464</c:v>
                </c:pt>
                <c:pt idx="1">
                  <c:v>98230392</c:v>
                </c:pt>
                <c:pt idx="2">
                  <c:v>120929568</c:v>
                </c:pt>
                <c:pt idx="3">
                  <c:v>146400360</c:v>
                </c:pt>
                <c:pt idx="4">
                  <c:v>166047592</c:v>
                </c:pt>
              </c:numCache>
            </c:numRef>
          </c:xVal>
          <c:yVal>
            <c:numRef>
              <c:f>Graph!$L$4:$L$8</c:f>
              <c:numCache>
                <c:formatCode>0.000000</c:formatCode>
                <c:ptCount val="5"/>
                <c:pt idx="0">
                  <c:v>0.99782449234600001</c:v>
                </c:pt>
                <c:pt idx="1">
                  <c:v>0.99859388370199997</c:v>
                </c:pt>
                <c:pt idx="2">
                  <c:v>0.99884772958199997</c:v>
                </c:pt>
                <c:pt idx="3">
                  <c:v>0.99918198970500005</c:v>
                </c:pt>
                <c:pt idx="4">
                  <c:v>0.99922174590199997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E6-486C-AAED-DF2C70C294D0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 pcrm-v12.0-transform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Graph!$N$4:$N$8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Graph!$Q$4:$Q$8</c:f>
              <c:numCache>
                <c:formatCode>0.000000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E6-486C-AAED-DF2C70C29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Attr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Graph!$L$3</c:f>
              <c:strCache>
                <c:ptCount val="1"/>
                <c:pt idx="0">
                  <c:v>YUV-SSIM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11</xdr:col>
      <xdr:colOff>607785</xdr:colOff>
      <xdr:row>26</xdr:row>
      <xdr:rowOff>158750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99FB5726-EF04-4861-B982-917A108E6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607785</xdr:colOff>
      <xdr:row>10</xdr:row>
      <xdr:rowOff>0</xdr:rowOff>
    </xdr:from>
    <xdr:to>
      <xdr:col>17</xdr:col>
      <xdr:colOff>514936</xdr:colOff>
      <xdr:row>26</xdr:row>
      <xdr:rowOff>158750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9DAE67FB-A72F-4B32-9F83-F84EA4477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514936</xdr:colOff>
      <xdr:row>10</xdr:row>
      <xdr:rowOff>0</xdr:rowOff>
    </xdr:from>
    <xdr:to>
      <xdr:col>23</xdr:col>
      <xdr:colOff>637667</xdr:colOff>
      <xdr:row>26</xdr:row>
      <xdr:rowOff>158750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3A273DC4-47C4-40B6-A31F-B10E3B31C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11</xdr:col>
      <xdr:colOff>607785</xdr:colOff>
      <xdr:row>46</xdr:row>
      <xdr:rowOff>13608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53D0B0A3-492B-4576-951A-37AAFA759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607785</xdr:colOff>
      <xdr:row>29</xdr:row>
      <xdr:rowOff>0</xdr:rowOff>
    </xdr:from>
    <xdr:to>
      <xdr:col>17</xdr:col>
      <xdr:colOff>514936</xdr:colOff>
      <xdr:row>46</xdr:row>
      <xdr:rowOff>13608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A7D3A41E-8127-4953-9F05-F05A14A97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514936</xdr:colOff>
      <xdr:row>29</xdr:row>
      <xdr:rowOff>0</xdr:rowOff>
    </xdr:from>
    <xdr:to>
      <xdr:col>23</xdr:col>
      <xdr:colOff>637667</xdr:colOff>
      <xdr:row>46</xdr:row>
      <xdr:rowOff>13608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CB281722-2FEB-4C3C-A32B-7D028766B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定义 2">
      <a:majorFont>
        <a:latin typeface="Cambria"/>
        <a:ea typeface="Cambria"/>
        <a:cs typeface=""/>
      </a:majorFont>
      <a:minorFont>
        <a:latin typeface="Calibri"/>
        <a:ea typeface="Calibri"/>
        <a:cs typeface="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17"/>
  <sheetViews>
    <sheetView zoomScale="130" zoomScaleNormal="130" workbookViewId="0">
      <selection activeCell="E9" sqref="E9"/>
    </sheetView>
  </sheetViews>
  <sheetFormatPr defaultColWidth="8.42578125" defaultRowHeight="15"/>
  <cols>
    <col min="1" max="1" width="9.85546875" customWidth="1"/>
    <col min="2" max="2" width="9.85546875" style="1" customWidth="1"/>
    <col min="3" max="5" width="9.85546875" style="8" customWidth="1"/>
  </cols>
  <sheetData>
    <row r="1" spans="2:15" ht="14.25" customHeight="1">
      <c r="B1" s="125" t="s">
        <v>1285</v>
      </c>
      <c r="C1" s="184" t="s">
        <v>1287</v>
      </c>
      <c r="D1" s="184"/>
      <c r="E1" s="14"/>
    </row>
    <row r="2" spans="2:15" ht="15" customHeight="1">
      <c r="B2" s="126" t="s">
        <v>1286</v>
      </c>
      <c r="C2" s="185" t="s">
        <v>1288</v>
      </c>
      <c r="D2" s="185"/>
      <c r="E2" s="14"/>
      <c r="F2" s="12"/>
      <c r="G2" s="12"/>
      <c r="H2" s="12"/>
      <c r="I2" s="12"/>
    </row>
    <row r="4" spans="2:15" ht="15.75" thickBot="1"/>
    <row r="5" spans="2:15" ht="15" customHeight="1">
      <c r="B5" s="201" t="s">
        <v>1265</v>
      </c>
      <c r="C5" s="197" t="s">
        <v>22</v>
      </c>
      <c r="D5" s="195" t="s">
        <v>1283</v>
      </c>
      <c r="E5" s="196"/>
      <c r="F5" s="196"/>
      <c r="G5" s="190" t="s">
        <v>1284</v>
      </c>
      <c r="H5" s="191"/>
      <c r="I5" s="192"/>
      <c r="J5" s="186" t="s">
        <v>1253</v>
      </c>
      <c r="K5" s="188" t="s">
        <v>1254</v>
      </c>
      <c r="L5" s="188" t="s">
        <v>1255</v>
      </c>
      <c r="M5" s="188" t="s">
        <v>1256</v>
      </c>
      <c r="N5" s="188" t="s">
        <v>1257</v>
      </c>
      <c r="O5" s="193" t="s">
        <v>1258</v>
      </c>
    </row>
    <row r="6" spans="2:15" ht="15.75" thickBot="1">
      <c r="B6" s="202"/>
      <c r="C6" s="198"/>
      <c r="D6" s="127" t="s">
        <v>1224</v>
      </c>
      <c r="E6" s="128" t="s">
        <v>1225</v>
      </c>
      <c r="F6" s="128" t="s">
        <v>1226</v>
      </c>
      <c r="G6" s="128" t="s">
        <v>1224</v>
      </c>
      <c r="H6" s="128" t="s">
        <v>1225</v>
      </c>
      <c r="I6" s="129" t="s">
        <v>1226</v>
      </c>
      <c r="J6" s="187"/>
      <c r="K6" s="189"/>
      <c r="L6" s="189"/>
      <c r="M6" s="189"/>
      <c r="N6" s="189"/>
      <c r="O6" s="194"/>
    </row>
    <row r="7" spans="2:15">
      <c r="B7" s="200" t="s">
        <v>1259</v>
      </c>
      <c r="C7" s="88" t="s">
        <v>1227</v>
      </c>
      <c r="D7" s="118">
        <f>'C1'!AS5</f>
        <v>0</v>
      </c>
      <c r="E7" s="91">
        <f>'C1'!AT5</f>
        <v>0</v>
      </c>
      <c r="F7" s="92">
        <f>'C1'!AU5</f>
        <v>0</v>
      </c>
      <c r="G7" s="90">
        <f>'C1'!AV5</f>
        <v>0</v>
      </c>
      <c r="H7" s="91">
        <f>'C1'!AW5</f>
        <v>0</v>
      </c>
      <c r="I7" s="99">
        <f>'C1'!AX5</f>
        <v>0</v>
      </c>
      <c r="J7" s="91" t="str">
        <f>IFERROR(GEOMEAN('C1'!AM5:AM9)/GEOMEAN('C1'!S5:S9),"")</f>
        <v/>
      </c>
      <c r="K7" s="91" t="str">
        <f>IFERROR(GEOMEAN('C1'!AN5:AN9)/GEOMEAN('C1'!T5:T9),"")</f>
        <v/>
      </c>
      <c r="L7" s="91" t="str">
        <f>IFERROR(GEOMEAN('C1'!AO5:AO9)/GEOMEAN('C1'!U5:U9),"")</f>
        <v/>
      </c>
      <c r="M7" s="91" t="str">
        <f>IFERROR(GEOMEAN('C1'!AP5:AP9)/GEOMEAN('C1'!V5:V9),"")</f>
        <v/>
      </c>
      <c r="N7" s="91" t="str">
        <f>IFERROR(GEOMEAN('C1'!AQ5:AQ9)/GEOMEAN('C1'!W5:W9),"")</f>
        <v/>
      </c>
      <c r="O7" s="99" t="str">
        <f>IFERROR(GEOMEAN('C1'!AR5:AR9)/GEOMEAN('C1'!X5:X9),"")</f>
        <v/>
      </c>
    </row>
    <row r="8" spans="2:15">
      <c r="B8" s="199"/>
      <c r="C8" s="89" t="s">
        <v>1228</v>
      </c>
      <c r="D8" s="119">
        <f>'C1'!AS10</f>
        <v>0</v>
      </c>
      <c r="E8" s="94">
        <f>'C1'!AT10</f>
        <v>0</v>
      </c>
      <c r="F8" s="95">
        <f>'C1'!AU10</f>
        <v>0</v>
      </c>
      <c r="G8" s="93">
        <f>'C1'!AV10</f>
        <v>0</v>
      </c>
      <c r="H8" s="94">
        <f>'C1'!AW10</f>
        <v>0</v>
      </c>
      <c r="I8" s="100">
        <f>'C1'!AX10</f>
        <v>0</v>
      </c>
      <c r="J8" s="94" t="str">
        <f>IFERROR(GEOMEAN('C1'!AM10:AM14)/GEOMEAN('C1'!S10:S14),"")</f>
        <v/>
      </c>
      <c r="K8" s="94" t="str">
        <f>IFERROR(GEOMEAN('C1'!AN10:AN14)/GEOMEAN('C1'!T10:T14),"")</f>
        <v/>
      </c>
      <c r="L8" s="94" t="str">
        <f>IFERROR(GEOMEAN('C1'!AO10:AO14)/GEOMEAN('C1'!U10:U14),"")</f>
        <v/>
      </c>
      <c r="M8" s="94" t="str">
        <f>IFERROR(GEOMEAN('C1'!AP10:AP14)/GEOMEAN('C1'!V10:V14),"")</f>
        <v/>
      </c>
      <c r="N8" s="94" t="str">
        <f>IFERROR(GEOMEAN('C1'!AQ10:AQ14)/GEOMEAN('C1'!W10:W14),"")</f>
        <v/>
      </c>
      <c r="O8" s="100" t="str">
        <f>IFERROR(GEOMEAN('C1'!AR10:AR14)/GEOMEAN('C1'!X10:X14),"")</f>
        <v/>
      </c>
    </row>
    <row r="9" spans="2:15">
      <c r="B9" s="199"/>
      <c r="C9" s="89" t="s">
        <v>1244</v>
      </c>
      <c r="D9" s="119">
        <f>'C1'!AS15</f>
        <v>0</v>
      </c>
      <c r="E9" s="94">
        <f>'C1'!AT15</f>
        <v>0</v>
      </c>
      <c r="F9" s="95">
        <f>'C1'!AU15</f>
        <v>0</v>
      </c>
      <c r="G9" s="93">
        <f>'C1'!AV15</f>
        <v>0</v>
      </c>
      <c r="H9" s="94">
        <f>'C1'!AW15</f>
        <v>0</v>
      </c>
      <c r="I9" s="100">
        <f>'C1'!AX15</f>
        <v>0</v>
      </c>
      <c r="J9" s="94" t="str">
        <f>IFERROR(GEOMEAN('C1'!AM15:AM19)/GEOMEAN('C1'!S15:S19),"")</f>
        <v/>
      </c>
      <c r="K9" s="94" t="str">
        <f>IFERROR(GEOMEAN('C1'!AN15:AN19)/GEOMEAN('C1'!T15:T19),"")</f>
        <v/>
      </c>
      <c r="L9" s="94" t="str">
        <f>IFERROR(GEOMEAN('C1'!AO15:AO19)/GEOMEAN('C1'!U15:U19),"")</f>
        <v/>
      </c>
      <c r="M9" s="94" t="str">
        <f>IFERROR(GEOMEAN('C1'!AP15:AP19)/GEOMEAN('C1'!V15:V19),"")</f>
        <v/>
      </c>
      <c r="N9" s="94" t="str">
        <f>IFERROR(GEOMEAN('C1'!AQ15:AQ19)/GEOMEAN('C1'!W15:W19),"")</f>
        <v/>
      </c>
      <c r="O9" s="100" t="str">
        <f>IFERROR(GEOMEAN('C1'!AR15:AR19)/GEOMEAN('C1'!X15:X19),"")</f>
        <v/>
      </c>
    </row>
    <row r="10" spans="2:15">
      <c r="B10" s="199"/>
      <c r="C10" s="89" t="s">
        <v>1245</v>
      </c>
      <c r="D10" s="120">
        <f>'C1'!AS20</f>
        <v>0</v>
      </c>
      <c r="E10" s="97">
        <f>'C1'!AT20</f>
        <v>0</v>
      </c>
      <c r="F10" s="98">
        <f>'C1'!AU20</f>
        <v>0</v>
      </c>
      <c r="G10" s="96">
        <f>'C1'!AV20</f>
        <v>0</v>
      </c>
      <c r="H10" s="97">
        <f>'C1'!AW20</f>
        <v>0</v>
      </c>
      <c r="I10" s="101">
        <f>'C1'!AX20</f>
        <v>0</v>
      </c>
      <c r="J10" s="97" t="str">
        <f>IFERROR(GEOMEAN('C1'!AM20:AM24)/GEOMEAN('C1'!S20:S24),"")</f>
        <v/>
      </c>
      <c r="K10" s="97" t="str">
        <f>IFERROR(GEOMEAN('C1'!AN20:AN24)/GEOMEAN('C1'!T20:T24),"")</f>
        <v/>
      </c>
      <c r="L10" s="97" t="str">
        <f>IFERROR(GEOMEAN('C1'!AO20:AO24)/GEOMEAN('C1'!U20:U24),"")</f>
        <v/>
      </c>
      <c r="M10" s="97" t="str">
        <f>IFERROR(GEOMEAN('C1'!AP20:AP24)/GEOMEAN('C1'!V20:V24),"")</f>
        <v/>
      </c>
      <c r="N10" s="97" t="str">
        <f>IFERROR(GEOMEAN('C1'!AQ20:AQ24)/GEOMEAN('C1'!W20:W24),"")</f>
        <v/>
      </c>
      <c r="O10" s="101" t="str">
        <f>IFERROR(GEOMEAN('C1'!AR20:AR24)/GEOMEAN('C1'!X20:X24),"")</f>
        <v/>
      </c>
    </row>
    <row r="11" spans="2:15">
      <c r="B11" s="199" t="s">
        <v>1260</v>
      </c>
      <c r="C11" s="89" t="s">
        <v>1246</v>
      </c>
      <c r="D11" s="121">
        <f>'C1'!AS25</f>
        <v>0</v>
      </c>
      <c r="E11" s="103">
        <f>'C1'!AT25</f>
        <v>0</v>
      </c>
      <c r="F11" s="104">
        <f>'C1'!AU25</f>
        <v>0</v>
      </c>
      <c r="G11" s="102">
        <f>'C1'!AV25</f>
        <v>0</v>
      </c>
      <c r="H11" s="103">
        <f>'C1'!AW25</f>
        <v>0</v>
      </c>
      <c r="I11" s="105">
        <f>'C1'!AX25</f>
        <v>0</v>
      </c>
      <c r="J11" s="103" t="str">
        <f>IFERROR(GEOMEAN('C1'!AM25:AM29)/GEOMEAN('C1'!S25:S29),"")</f>
        <v/>
      </c>
      <c r="K11" s="103" t="str">
        <f>IFERROR(GEOMEAN('C1'!AN25:AN29)/GEOMEAN('C1'!T25:T29),"")</f>
        <v/>
      </c>
      <c r="L11" s="103" t="str">
        <f>IFERROR(GEOMEAN('C1'!AO25:AO29)/GEOMEAN('C1'!U25:U29),"")</f>
        <v/>
      </c>
      <c r="M11" s="103" t="str">
        <f>IFERROR(GEOMEAN('C1'!AP25:AP29)/GEOMEAN('C1'!V25:V29),"")</f>
        <v/>
      </c>
      <c r="N11" s="103" t="str">
        <f>IFERROR(GEOMEAN('C1'!AQ25:AQ29)/GEOMEAN('C1'!W25:W29),"")</f>
        <v/>
      </c>
      <c r="O11" s="105" t="str">
        <f>IFERROR(GEOMEAN('C1'!AR25:AR29)/GEOMEAN('C1'!X25:X29),"")</f>
        <v/>
      </c>
    </row>
    <row r="12" spans="2:15">
      <c r="B12" s="199"/>
      <c r="C12" s="89" t="s">
        <v>1247</v>
      </c>
      <c r="D12" s="119">
        <f>'C1'!AS30</f>
        <v>0</v>
      </c>
      <c r="E12" s="94">
        <f>'C1'!AT30</f>
        <v>0</v>
      </c>
      <c r="F12" s="95">
        <f>'C1'!AU30</f>
        <v>0</v>
      </c>
      <c r="G12" s="93">
        <f>'C1'!AV30</f>
        <v>0</v>
      </c>
      <c r="H12" s="94">
        <f>'C1'!AW30</f>
        <v>0</v>
      </c>
      <c r="I12" s="100">
        <f>'C1'!AX30</f>
        <v>0</v>
      </c>
      <c r="J12" s="94" t="str">
        <f>IFERROR(GEOMEAN('C1'!AM30:AM34)/GEOMEAN('C1'!S30:S34),"")</f>
        <v/>
      </c>
      <c r="K12" s="94" t="str">
        <f>IFERROR(GEOMEAN('C1'!AN30:AN34)/GEOMEAN('C1'!T30:T34),"")</f>
        <v/>
      </c>
      <c r="L12" s="94" t="str">
        <f>IFERROR(GEOMEAN('C1'!AO30:AO34)/GEOMEAN('C1'!U30:U34),"")</f>
        <v/>
      </c>
      <c r="M12" s="94" t="str">
        <f>IFERROR(GEOMEAN('C1'!AP30:AP34)/GEOMEAN('C1'!V30:V34),"")</f>
        <v/>
      </c>
      <c r="N12" s="94" t="str">
        <f>IFERROR(GEOMEAN('C1'!AQ30:AQ34)/GEOMEAN('C1'!W30:W34),"")</f>
        <v/>
      </c>
      <c r="O12" s="100" t="str">
        <f>IFERROR(GEOMEAN('C1'!AR30:AR34)/GEOMEAN('C1'!X30:X34),"")</f>
        <v/>
      </c>
    </row>
    <row r="13" spans="2:15">
      <c r="B13" s="199"/>
      <c r="C13" s="89" t="s">
        <v>1249</v>
      </c>
      <c r="D13" s="119">
        <f>'C1'!AS35</f>
        <v>0</v>
      </c>
      <c r="E13" s="94">
        <f>'C1'!AT35</f>
        <v>0</v>
      </c>
      <c r="F13" s="95">
        <f>'C1'!AU35</f>
        <v>0</v>
      </c>
      <c r="G13" s="93">
        <f>'C1'!AV35</f>
        <v>0</v>
      </c>
      <c r="H13" s="94">
        <f>'C1'!AW35</f>
        <v>0</v>
      </c>
      <c r="I13" s="100">
        <f>'C1'!AX35</f>
        <v>0</v>
      </c>
      <c r="J13" s="94" t="str">
        <f>IFERROR(GEOMEAN('C1'!AM35:AM39)/GEOMEAN('C1'!S35:S39),"")</f>
        <v/>
      </c>
      <c r="K13" s="94" t="str">
        <f>IFERROR(GEOMEAN('C1'!AN35:AN39)/GEOMEAN('C1'!T35:T39),"")</f>
        <v/>
      </c>
      <c r="L13" s="94" t="str">
        <f>IFERROR(GEOMEAN('C1'!AO35:AO39)/GEOMEAN('C1'!U35:U39),"")</f>
        <v/>
      </c>
      <c r="M13" s="94" t="str">
        <f>IFERROR(GEOMEAN('C1'!AP35:AP39)/GEOMEAN('C1'!V35:V39),"")</f>
        <v/>
      </c>
      <c r="N13" s="94" t="str">
        <f>IFERROR(GEOMEAN('C1'!AQ35:AQ39)/GEOMEAN('C1'!W35:W39),"")</f>
        <v/>
      </c>
      <c r="O13" s="100" t="str">
        <f>IFERROR(GEOMEAN('C1'!AR35:AR39)/GEOMEAN('C1'!X35:X39),"")</f>
        <v/>
      </c>
    </row>
    <row r="14" spans="2:15">
      <c r="B14" s="199"/>
      <c r="C14" s="89" t="s">
        <v>1248</v>
      </c>
      <c r="D14" s="120">
        <f>'C1'!AS40</f>
        <v>0</v>
      </c>
      <c r="E14" s="97">
        <f>'C1'!AT40</f>
        <v>0</v>
      </c>
      <c r="F14" s="98">
        <f>'C1'!AU40</f>
        <v>0</v>
      </c>
      <c r="G14" s="96">
        <f>'C1'!AV40</f>
        <v>0</v>
      </c>
      <c r="H14" s="97">
        <f>'C1'!AW40</f>
        <v>0</v>
      </c>
      <c r="I14" s="101">
        <f>'C1'!AX40</f>
        <v>0</v>
      </c>
      <c r="J14" s="97" t="str">
        <f>IFERROR(GEOMEAN('C1'!AM40:AM44)/GEOMEAN('C1'!S40:S44),"")</f>
        <v/>
      </c>
      <c r="K14" s="97" t="str">
        <f>IFERROR(GEOMEAN('C1'!AN40:AN44)/GEOMEAN('C1'!T40:T44),"")</f>
        <v/>
      </c>
      <c r="L14" s="97" t="str">
        <f>IFERROR(GEOMEAN('C1'!AO40:AO44)/GEOMEAN('C1'!U40:U44),"")</f>
        <v/>
      </c>
      <c r="M14" s="97" t="str">
        <f>IFERROR(GEOMEAN('C1'!AP40:AP44)/GEOMEAN('C1'!V40:V44),"")</f>
        <v/>
      </c>
      <c r="N14" s="97" t="str">
        <f>IFERROR(GEOMEAN('C1'!AQ40:AQ44)/GEOMEAN('C1'!W40:W44),"")</f>
        <v/>
      </c>
      <c r="O14" s="101" t="str">
        <f>IFERROR(GEOMEAN('C1'!AR40:AR44)/GEOMEAN('C1'!X40:X44),"")</f>
        <v/>
      </c>
    </row>
    <row r="15" spans="2:15">
      <c r="B15" s="123"/>
      <c r="C15" s="130" t="s">
        <v>1259</v>
      </c>
      <c r="D15" s="119">
        <f t="shared" ref="D15:O15" si="0">IF(COUNTIF(D7:D10,"=0")&gt;0,0,AVERAGE(D7:D10))</f>
        <v>0</v>
      </c>
      <c r="E15" s="94">
        <f t="shared" si="0"/>
        <v>0</v>
      </c>
      <c r="F15" s="95">
        <f t="shared" si="0"/>
        <v>0</v>
      </c>
      <c r="G15" s="93">
        <f t="shared" si="0"/>
        <v>0</v>
      </c>
      <c r="H15" s="94">
        <f t="shared" si="0"/>
        <v>0</v>
      </c>
      <c r="I15" s="100">
        <f t="shared" si="0"/>
        <v>0</v>
      </c>
      <c r="J15" s="94" t="e">
        <f t="shared" si="0"/>
        <v>#DIV/0!</v>
      </c>
      <c r="K15" s="94" t="e">
        <f t="shared" si="0"/>
        <v>#DIV/0!</v>
      </c>
      <c r="L15" s="94" t="e">
        <f t="shared" si="0"/>
        <v>#DIV/0!</v>
      </c>
      <c r="M15" s="94" t="e">
        <f t="shared" si="0"/>
        <v>#DIV/0!</v>
      </c>
      <c r="N15" s="94" t="e">
        <f t="shared" si="0"/>
        <v>#DIV/0!</v>
      </c>
      <c r="O15" s="100" t="e">
        <f t="shared" si="0"/>
        <v>#DIV/0!</v>
      </c>
    </row>
    <row r="16" spans="2:15">
      <c r="B16" s="124"/>
      <c r="C16" s="130" t="s">
        <v>1289</v>
      </c>
      <c r="D16" s="120">
        <f t="shared" ref="D16:O16" si="1">IF(COUNTIF(D11:D14,"=0")&gt;0,0,AVERAGE(D11:D14))</f>
        <v>0</v>
      </c>
      <c r="E16" s="97">
        <f t="shared" si="1"/>
        <v>0</v>
      </c>
      <c r="F16" s="98">
        <f t="shared" si="1"/>
        <v>0</v>
      </c>
      <c r="G16" s="96">
        <f t="shared" si="1"/>
        <v>0</v>
      </c>
      <c r="H16" s="97">
        <f t="shared" si="1"/>
        <v>0</v>
      </c>
      <c r="I16" s="101">
        <f t="shared" si="1"/>
        <v>0</v>
      </c>
      <c r="J16" s="97" t="e">
        <f t="shared" si="1"/>
        <v>#DIV/0!</v>
      </c>
      <c r="K16" s="97" t="e">
        <f t="shared" si="1"/>
        <v>#DIV/0!</v>
      </c>
      <c r="L16" s="97" t="e">
        <f t="shared" si="1"/>
        <v>#DIV/0!</v>
      </c>
      <c r="M16" s="97" t="e">
        <f t="shared" si="1"/>
        <v>#DIV/0!</v>
      </c>
      <c r="N16" s="97" t="e">
        <f t="shared" si="1"/>
        <v>#DIV/0!</v>
      </c>
      <c r="O16" s="101" t="e">
        <f t="shared" si="1"/>
        <v>#DIV/0!</v>
      </c>
    </row>
    <row r="17" spans="2:15" ht="15.75" thickBot="1">
      <c r="B17" s="132"/>
      <c r="C17" s="131" t="s">
        <v>1281</v>
      </c>
      <c r="D17" s="122">
        <f t="shared" ref="D17:O17" si="2">IF(COUNTIF(D7:D14,"=0")&gt;0,0,AVERAGE(D7:D14))</f>
        <v>0</v>
      </c>
      <c r="E17" s="107">
        <f t="shared" si="2"/>
        <v>0</v>
      </c>
      <c r="F17" s="108">
        <f t="shared" si="2"/>
        <v>0</v>
      </c>
      <c r="G17" s="106">
        <f t="shared" si="2"/>
        <v>0</v>
      </c>
      <c r="H17" s="107">
        <f t="shared" si="2"/>
        <v>0</v>
      </c>
      <c r="I17" s="109">
        <f t="shared" si="2"/>
        <v>0</v>
      </c>
      <c r="J17" s="107" t="e">
        <f t="shared" si="2"/>
        <v>#DIV/0!</v>
      </c>
      <c r="K17" s="107" t="e">
        <f t="shared" si="2"/>
        <v>#DIV/0!</v>
      </c>
      <c r="L17" s="107" t="e">
        <f t="shared" si="2"/>
        <v>#DIV/0!</v>
      </c>
      <c r="M17" s="107" t="e">
        <f t="shared" si="2"/>
        <v>#DIV/0!</v>
      </c>
      <c r="N17" s="107" t="e">
        <f t="shared" si="2"/>
        <v>#DIV/0!</v>
      </c>
      <c r="O17" s="109" t="e">
        <f t="shared" si="2"/>
        <v>#DIV/0!</v>
      </c>
    </row>
  </sheetData>
  <mergeCells count="14">
    <mergeCell ref="O5:O6"/>
    <mergeCell ref="D5:F5"/>
    <mergeCell ref="C5:C6"/>
    <mergeCell ref="B11:B14"/>
    <mergeCell ref="B7:B10"/>
    <mergeCell ref="B5:B6"/>
    <mergeCell ref="M5:M6"/>
    <mergeCell ref="N5:N6"/>
    <mergeCell ref="C1:D1"/>
    <mergeCell ref="C2:D2"/>
    <mergeCell ref="J5:J6"/>
    <mergeCell ref="K5:K6"/>
    <mergeCell ref="L5:L6"/>
    <mergeCell ref="G5:I5"/>
  </mergeCells>
  <phoneticPr fontId="2" type="noConversion"/>
  <conditionalFormatting sqref="D7:I17">
    <cfRule type="cellIs" dxfId="116" priority="3" operator="greaterThan">
      <formula>0.03</formula>
    </cfRule>
    <cfRule type="cellIs" dxfId="115" priority="2" operator="lessThan">
      <formula>-0.03</formula>
    </cfRule>
    <cfRule type="containsBlanks" dxfId="114" priority="4">
      <formula>LEN(TRIM(D7))=0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C882"/>
  <sheetViews>
    <sheetView topLeftCell="A307" workbookViewId="0">
      <selection activeCell="B332" sqref="B332"/>
    </sheetView>
  </sheetViews>
  <sheetFormatPr defaultColWidth="8.85546875" defaultRowHeight="15"/>
  <cols>
    <col min="1" max="1" width="71" customWidth="1"/>
    <col min="2" max="2" width="50" style="1" customWidth="1"/>
  </cols>
  <sheetData>
    <row r="1" spans="1:29">
      <c r="A1" t="s">
        <v>190</v>
      </c>
      <c r="B1" t="s">
        <v>0</v>
      </c>
      <c r="C1" t="s">
        <v>1</v>
      </c>
      <c r="D1" t="s">
        <v>582</v>
      </c>
      <c r="E1" t="s">
        <v>583</v>
      </c>
      <c r="F1" t="s">
        <v>543</v>
      </c>
      <c r="G1" t="s">
        <v>3</v>
      </c>
      <c r="H1" t="s">
        <v>4</v>
      </c>
      <c r="I1" t="s">
        <v>6</v>
      </c>
      <c r="J1" t="s">
        <v>7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s="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731</v>
      </c>
      <c r="Y1" t="s">
        <v>729</v>
      </c>
      <c r="Z1" t="s">
        <v>730</v>
      </c>
      <c r="AA1" t="s">
        <v>732</v>
      </c>
    </row>
    <row r="2" spans="1:29">
      <c r="A2" t="s">
        <v>97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9</v>
      </c>
      <c r="J2" s="1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731</v>
      </c>
      <c r="W2" t="s">
        <v>729</v>
      </c>
      <c r="X2" t="s">
        <v>730</v>
      </c>
      <c r="Y2" t="s">
        <v>732</v>
      </c>
    </row>
    <row r="3" spans="1:29">
      <c r="A3" t="s">
        <v>266</v>
      </c>
      <c r="B3" s="1" t="s">
        <v>268</v>
      </c>
      <c r="C3" t="s">
        <v>0</v>
      </c>
      <c r="D3" t="s">
        <v>267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18</v>
      </c>
      <c r="W3" t="s">
        <v>19</v>
      </c>
      <c r="X3" t="s">
        <v>20</v>
      </c>
      <c r="Y3" t="s">
        <v>21</v>
      </c>
      <c r="Z3" t="s">
        <v>731</v>
      </c>
      <c r="AA3" t="s">
        <v>729</v>
      </c>
      <c r="AB3" t="s">
        <v>730</v>
      </c>
      <c r="AC3" t="s">
        <v>732</v>
      </c>
    </row>
    <row r="4" spans="1:29">
      <c r="A4" t="s">
        <v>146</v>
      </c>
      <c r="B4" t="s">
        <v>2</v>
      </c>
      <c r="C4" t="s">
        <v>3</v>
      </c>
      <c r="D4" t="s">
        <v>4</v>
      </c>
      <c r="E4" t="s">
        <v>7</v>
      </c>
      <c r="F4" t="s">
        <v>10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 t="s">
        <v>16</v>
      </c>
      <c r="M4" t="s">
        <v>17</v>
      </c>
      <c r="N4" t="s">
        <v>18</v>
      </c>
      <c r="O4" s="1" t="s">
        <v>19</v>
      </c>
      <c r="P4" t="s">
        <v>20</v>
      </c>
      <c r="Q4" t="s">
        <v>21</v>
      </c>
      <c r="R4" t="s">
        <v>733</v>
      </c>
      <c r="S4" t="s">
        <v>729</v>
      </c>
      <c r="T4" t="s">
        <v>730</v>
      </c>
      <c r="U4" t="s">
        <v>732</v>
      </c>
    </row>
    <row r="5" spans="1:29">
      <c r="A5" t="s">
        <v>562</v>
      </c>
      <c r="B5" t="s">
        <v>0</v>
      </c>
      <c r="C5" t="s">
        <v>1</v>
      </c>
      <c r="D5" t="s">
        <v>582</v>
      </c>
      <c r="E5" t="s">
        <v>269</v>
      </c>
      <c r="F5" t="s">
        <v>543</v>
      </c>
      <c r="G5" t="s">
        <v>3</v>
      </c>
      <c r="H5" t="s">
        <v>4</v>
      </c>
      <c r="I5" t="s">
        <v>6</v>
      </c>
      <c r="J5" t="s">
        <v>7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s="1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731</v>
      </c>
      <c r="Y5" t="s">
        <v>729</v>
      </c>
      <c r="Z5" t="s">
        <v>730</v>
      </c>
      <c r="AA5" t="s">
        <v>732</v>
      </c>
    </row>
    <row r="6" spans="1:29">
      <c r="A6" t="s">
        <v>282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6</v>
      </c>
      <c r="H6" t="s">
        <v>7</v>
      </c>
      <c r="I6" t="s">
        <v>9</v>
      </c>
      <c r="J6" s="1" t="s">
        <v>10</v>
      </c>
      <c r="K6" t="s">
        <v>11</v>
      </c>
      <c r="L6" t="s">
        <v>12</v>
      </c>
      <c r="M6" t="s">
        <v>13</v>
      </c>
      <c r="N6" t="s">
        <v>14</v>
      </c>
      <c r="O6" t="s">
        <v>15</v>
      </c>
      <c r="P6" t="s">
        <v>16</v>
      </c>
      <c r="Q6" t="s">
        <v>17</v>
      </c>
      <c r="R6" t="s">
        <v>18</v>
      </c>
      <c r="S6" t="s">
        <v>19</v>
      </c>
      <c r="T6" t="s">
        <v>20</v>
      </c>
      <c r="U6" t="s">
        <v>21</v>
      </c>
      <c r="V6" t="s">
        <v>731</v>
      </c>
      <c r="W6" t="s">
        <v>729</v>
      </c>
      <c r="X6" t="s">
        <v>730</v>
      </c>
      <c r="Y6" t="s">
        <v>732</v>
      </c>
    </row>
    <row r="7" spans="1:29">
      <c r="A7" t="s">
        <v>283</v>
      </c>
      <c r="B7" s="1" t="s">
        <v>268</v>
      </c>
      <c r="C7" t="s">
        <v>0</v>
      </c>
      <c r="D7" t="s">
        <v>267</v>
      </c>
      <c r="E7" t="s">
        <v>1</v>
      </c>
      <c r="F7" t="s">
        <v>2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13</v>
      </c>
      <c r="R7" t="s">
        <v>14</v>
      </c>
      <c r="S7" t="s">
        <v>15</v>
      </c>
      <c r="T7" t="s">
        <v>16</v>
      </c>
      <c r="U7" t="s">
        <v>17</v>
      </c>
      <c r="V7" t="s">
        <v>18</v>
      </c>
      <c r="W7" t="s">
        <v>19</v>
      </c>
      <c r="X7" t="s">
        <v>20</v>
      </c>
      <c r="Y7" t="s">
        <v>21</v>
      </c>
      <c r="Z7" t="s">
        <v>731</v>
      </c>
      <c r="AA7" t="s">
        <v>729</v>
      </c>
      <c r="AB7" t="s">
        <v>730</v>
      </c>
      <c r="AC7" t="s">
        <v>732</v>
      </c>
    </row>
    <row r="8" spans="1:29">
      <c r="A8" t="s">
        <v>284</v>
      </c>
      <c r="B8" t="s">
        <v>901</v>
      </c>
      <c r="C8" t="s">
        <v>3</v>
      </c>
      <c r="D8" t="s">
        <v>4</v>
      </c>
      <c r="E8" t="s">
        <v>7</v>
      </c>
      <c r="F8" t="s">
        <v>10</v>
      </c>
      <c r="G8" t="s">
        <v>11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 t="s">
        <v>17</v>
      </c>
      <c r="N8" t="s">
        <v>18</v>
      </c>
      <c r="O8" s="1" t="s">
        <v>19</v>
      </c>
      <c r="P8" t="s">
        <v>20</v>
      </c>
      <c r="Q8" t="s">
        <v>21</v>
      </c>
      <c r="R8" t="s">
        <v>733</v>
      </c>
      <c r="S8" t="s">
        <v>729</v>
      </c>
      <c r="T8" t="s">
        <v>730</v>
      </c>
      <c r="U8" t="s">
        <v>732</v>
      </c>
    </row>
    <row r="9" spans="1:29">
      <c r="A9" t="s">
        <v>147</v>
      </c>
      <c r="B9" s="1">
        <v>1</v>
      </c>
    </row>
    <row r="10" spans="1:29">
      <c r="A10" t="s">
        <v>148</v>
      </c>
      <c r="B10" s="1">
        <v>2</v>
      </c>
    </row>
    <row r="11" spans="1:29">
      <c r="A11" t="s">
        <v>149</v>
      </c>
      <c r="B11" s="1">
        <v>3</v>
      </c>
    </row>
    <row r="12" spans="1:29">
      <c r="A12" t="s">
        <v>577</v>
      </c>
      <c r="B12" s="1">
        <v>4</v>
      </c>
    </row>
    <row r="13" spans="1:29">
      <c r="A13" t="s">
        <v>898</v>
      </c>
      <c r="B13" s="1">
        <v>5</v>
      </c>
    </row>
    <row r="14" spans="1:29">
      <c r="A14" t="s">
        <v>692</v>
      </c>
      <c r="B14" s="1">
        <v>6</v>
      </c>
    </row>
    <row r="15" spans="1:29">
      <c r="A15" t="s">
        <v>904</v>
      </c>
      <c r="B15" s="1">
        <v>7</v>
      </c>
    </row>
    <row r="16" spans="1:29">
      <c r="A16" t="s">
        <v>900</v>
      </c>
      <c r="B16" s="1">
        <v>8</v>
      </c>
    </row>
    <row r="17" spans="1:2">
      <c r="A17" t="s">
        <v>150</v>
      </c>
      <c r="B17" s="1">
        <v>9</v>
      </c>
    </row>
    <row r="18" spans="1:2">
      <c r="A18" t="s">
        <v>151</v>
      </c>
      <c r="B18" s="1">
        <v>10</v>
      </c>
    </row>
    <row r="19" spans="1:2">
      <c r="A19" t="s">
        <v>152</v>
      </c>
      <c r="B19" s="1">
        <v>12</v>
      </c>
    </row>
    <row r="20" spans="1:2">
      <c r="A20" t="s">
        <v>693</v>
      </c>
      <c r="B20" s="1">
        <v>13</v>
      </c>
    </row>
    <row r="21" spans="1:2">
      <c r="A21" t="s">
        <v>694</v>
      </c>
      <c r="B21" s="1">
        <v>14</v>
      </c>
    </row>
    <row r="22" spans="1:2">
      <c r="A22" t="s">
        <v>695</v>
      </c>
      <c r="B22" s="1">
        <v>15</v>
      </c>
    </row>
    <row r="23" spans="1:2">
      <c r="A23" t="s">
        <v>696</v>
      </c>
      <c r="B23" s="1">
        <v>16</v>
      </c>
    </row>
    <row r="24" spans="1:2">
      <c r="A24" t="s">
        <v>153</v>
      </c>
      <c r="B24" s="1">
        <v>17</v>
      </c>
    </row>
    <row r="25" spans="1:2">
      <c r="A25" t="s">
        <v>154</v>
      </c>
      <c r="B25" s="1">
        <v>18</v>
      </c>
    </row>
    <row r="26" spans="1:2">
      <c r="A26" t="s">
        <v>155</v>
      </c>
      <c r="B26" s="1">
        <v>19</v>
      </c>
    </row>
    <row r="27" spans="1:2">
      <c r="A27" t="s">
        <v>899</v>
      </c>
      <c r="B27" s="1">
        <v>20</v>
      </c>
    </row>
    <row r="28" spans="1:2">
      <c r="A28" t="s">
        <v>156</v>
      </c>
      <c r="B28" s="1">
        <v>21</v>
      </c>
    </row>
    <row r="29" spans="1:2">
      <c r="A29" t="s">
        <v>157</v>
      </c>
      <c r="B29" s="1">
        <v>22</v>
      </c>
    </row>
    <row r="30" spans="1:2">
      <c r="A30" t="s">
        <v>158</v>
      </c>
      <c r="B30" s="1">
        <v>23</v>
      </c>
    </row>
    <row r="31" spans="1:2">
      <c r="A31" t="s">
        <v>159</v>
      </c>
      <c r="B31" s="1">
        <v>24</v>
      </c>
    </row>
    <row r="32" spans="1:2">
      <c r="A32" t="s">
        <v>160</v>
      </c>
      <c r="B32" s="1">
        <v>25</v>
      </c>
    </row>
    <row r="33" spans="1:2">
      <c r="A33" t="s">
        <v>161</v>
      </c>
      <c r="B33" s="1">
        <v>26</v>
      </c>
    </row>
    <row r="34" spans="1:2">
      <c r="A34" t="s">
        <v>578</v>
      </c>
      <c r="B34" s="1">
        <v>27</v>
      </c>
    </row>
    <row r="35" spans="1:2">
      <c r="A35" t="s">
        <v>579</v>
      </c>
      <c r="B35" s="1">
        <v>28</v>
      </c>
    </row>
    <row r="36" spans="1:2">
      <c r="A36" t="s">
        <v>162</v>
      </c>
      <c r="B36" s="1">
        <v>29</v>
      </c>
    </row>
    <row r="37" spans="1:2">
      <c r="A37" t="s">
        <v>163</v>
      </c>
      <c r="B37" s="1">
        <v>30</v>
      </c>
    </row>
    <row r="38" spans="1:2">
      <c r="A38" t="s">
        <v>164</v>
      </c>
      <c r="B38" s="1">
        <v>31</v>
      </c>
    </row>
    <row r="39" spans="1:2">
      <c r="A39" t="s">
        <v>165</v>
      </c>
      <c r="B39" s="1">
        <v>32</v>
      </c>
    </row>
    <row r="40" spans="1:2">
      <c r="A40" t="s">
        <v>166</v>
      </c>
      <c r="B40" s="1">
        <v>33</v>
      </c>
    </row>
    <row r="41" spans="1:2">
      <c r="A41" t="s">
        <v>167</v>
      </c>
      <c r="B41" s="1">
        <v>34</v>
      </c>
    </row>
    <row r="42" spans="1:2">
      <c r="A42" t="s">
        <v>935</v>
      </c>
      <c r="B42" s="1">
        <v>35</v>
      </c>
    </row>
    <row r="43" spans="1:2">
      <c r="A43" t="s">
        <v>936</v>
      </c>
      <c r="B43" s="1">
        <v>36</v>
      </c>
    </row>
    <row r="44" spans="1:2">
      <c r="A44" t="s">
        <v>937</v>
      </c>
      <c r="B44" s="1">
        <v>37</v>
      </c>
    </row>
    <row r="45" spans="1:2">
      <c r="A45" t="s">
        <v>938</v>
      </c>
      <c r="B45" s="1">
        <v>38</v>
      </c>
    </row>
    <row r="46" spans="1:2">
      <c r="A46" t="s">
        <v>939</v>
      </c>
      <c r="B46" s="1">
        <v>39</v>
      </c>
    </row>
    <row r="47" spans="1:2">
      <c r="A47" t="s">
        <v>940</v>
      </c>
      <c r="B47" s="1">
        <v>40</v>
      </c>
    </row>
    <row r="48" spans="1:2">
      <c r="A48" t="s">
        <v>168</v>
      </c>
      <c r="B48" s="1">
        <v>41</v>
      </c>
    </row>
    <row r="49" spans="1:2">
      <c r="A49" t="s">
        <v>563</v>
      </c>
      <c r="B49" s="1">
        <v>42</v>
      </c>
    </row>
    <row r="50" spans="1:2">
      <c r="A50" t="s">
        <v>564</v>
      </c>
      <c r="B50" s="1">
        <v>43</v>
      </c>
    </row>
    <row r="51" spans="1:2">
      <c r="A51" t="s">
        <v>169</v>
      </c>
      <c r="B51" s="1">
        <v>45</v>
      </c>
    </row>
    <row r="52" spans="1:2">
      <c r="A52" t="s">
        <v>701</v>
      </c>
      <c r="B52" s="1">
        <v>46</v>
      </c>
    </row>
    <row r="53" spans="1:2">
      <c r="A53" t="s">
        <v>698</v>
      </c>
      <c r="B53" s="1">
        <v>47</v>
      </c>
    </row>
    <row r="54" spans="1:2">
      <c r="A54" t="s">
        <v>699</v>
      </c>
      <c r="B54" s="1">
        <v>48</v>
      </c>
    </row>
    <row r="55" spans="1:2">
      <c r="A55" t="s">
        <v>700</v>
      </c>
      <c r="B55" s="1">
        <v>49</v>
      </c>
    </row>
    <row r="56" spans="1:2">
      <c r="A56" t="s">
        <v>170</v>
      </c>
      <c r="B56" s="1">
        <v>50</v>
      </c>
    </row>
    <row r="57" spans="1:2">
      <c r="A57" t="s">
        <v>171</v>
      </c>
      <c r="B57" s="1">
        <v>51</v>
      </c>
    </row>
    <row r="58" spans="1:2">
      <c r="A58" t="s">
        <v>172</v>
      </c>
      <c r="B58" s="1">
        <v>52</v>
      </c>
    </row>
    <row r="59" spans="1:2">
      <c r="A59" t="s">
        <v>173</v>
      </c>
      <c r="B59" s="1">
        <v>53</v>
      </c>
    </row>
    <row r="60" spans="1:2">
      <c r="A60" t="s">
        <v>174</v>
      </c>
      <c r="B60" s="1">
        <v>54</v>
      </c>
    </row>
    <row r="61" spans="1:2">
      <c r="A61" t="s">
        <v>175</v>
      </c>
      <c r="B61" s="1">
        <v>55</v>
      </c>
    </row>
    <row r="62" spans="1:2">
      <c r="A62" t="s">
        <v>176</v>
      </c>
      <c r="B62" s="1">
        <v>56</v>
      </c>
    </row>
    <row r="63" spans="1:2">
      <c r="A63" t="s">
        <v>177</v>
      </c>
      <c r="B63" s="1">
        <v>57</v>
      </c>
    </row>
    <row r="64" spans="1:2">
      <c r="A64" t="s">
        <v>178</v>
      </c>
      <c r="B64" s="1">
        <v>58</v>
      </c>
    </row>
    <row r="65" spans="1:2">
      <c r="A65" t="s">
        <v>179</v>
      </c>
      <c r="B65" s="1">
        <v>59</v>
      </c>
    </row>
    <row r="66" spans="1:2">
      <c r="A66" t="s">
        <v>580</v>
      </c>
      <c r="B66" s="1">
        <v>60</v>
      </c>
    </row>
    <row r="67" spans="1:2">
      <c r="A67" t="s">
        <v>581</v>
      </c>
      <c r="B67" s="1">
        <v>61</v>
      </c>
    </row>
    <row r="68" spans="1:2">
      <c r="A68" t="s">
        <v>180</v>
      </c>
      <c r="B68" s="1">
        <v>62</v>
      </c>
    </row>
    <row r="69" spans="1:2">
      <c r="A69" t="s">
        <v>181</v>
      </c>
      <c r="B69" s="1">
        <v>63</v>
      </c>
    </row>
    <row r="70" spans="1:2">
      <c r="A70" t="s">
        <v>182</v>
      </c>
      <c r="B70" s="1">
        <v>64</v>
      </c>
    </row>
    <row r="71" spans="1:2">
      <c r="A71" t="s">
        <v>183</v>
      </c>
      <c r="B71" s="1">
        <v>65</v>
      </c>
    </row>
    <row r="72" spans="1:2">
      <c r="A72" t="s">
        <v>184</v>
      </c>
      <c r="B72" s="1">
        <v>66</v>
      </c>
    </row>
    <row r="73" spans="1:2">
      <c r="A73" t="s">
        <v>185</v>
      </c>
      <c r="B73" s="1">
        <v>67</v>
      </c>
    </row>
    <row r="74" spans="1:2">
      <c r="A74" t="s">
        <v>941</v>
      </c>
      <c r="B74" s="1">
        <v>68</v>
      </c>
    </row>
    <row r="75" spans="1:2">
      <c r="A75" t="s">
        <v>942</v>
      </c>
      <c r="B75" s="1">
        <v>69</v>
      </c>
    </row>
    <row r="76" spans="1:2">
      <c r="A76" t="s">
        <v>943</v>
      </c>
      <c r="B76" s="1">
        <v>70</v>
      </c>
    </row>
    <row r="77" spans="1:2">
      <c r="A77" t="s">
        <v>944</v>
      </c>
      <c r="B77" s="1">
        <v>71</v>
      </c>
    </row>
    <row r="78" spans="1:2">
      <c r="A78" t="s">
        <v>945</v>
      </c>
      <c r="B78" s="1">
        <v>72</v>
      </c>
    </row>
    <row r="79" spans="1:2">
      <c r="A79" t="s">
        <v>946</v>
      </c>
      <c r="B79" s="1">
        <v>73</v>
      </c>
    </row>
    <row r="80" spans="1:2">
      <c r="A80" t="s">
        <v>186</v>
      </c>
      <c r="B80" s="1">
        <v>74</v>
      </c>
    </row>
    <row r="81" spans="1:2">
      <c r="A81" t="s">
        <v>187</v>
      </c>
      <c r="B81" s="1">
        <v>75</v>
      </c>
    </row>
    <row r="82" spans="1:2">
      <c r="A82" t="s">
        <v>565</v>
      </c>
      <c r="B82" s="1">
        <v>76</v>
      </c>
    </row>
    <row r="83" spans="1:2">
      <c r="A83" t="s">
        <v>188</v>
      </c>
      <c r="B83" s="3" t="s">
        <v>948</v>
      </c>
    </row>
    <row r="84" spans="1:2">
      <c r="A84" t="s">
        <v>189</v>
      </c>
      <c r="B84" s="2" t="s">
        <v>947</v>
      </c>
    </row>
    <row r="85" spans="1:2">
      <c r="A85" t="s">
        <v>584</v>
      </c>
      <c r="B85" s="2" t="s">
        <v>949</v>
      </c>
    </row>
    <row r="86" spans="1:2">
      <c r="A86" t="s">
        <v>585</v>
      </c>
      <c r="B86" s="2" t="s">
        <v>950</v>
      </c>
    </row>
    <row r="87" spans="1:2">
      <c r="A87" t="s">
        <v>586</v>
      </c>
      <c r="B87" s="2" t="s">
        <v>951</v>
      </c>
    </row>
    <row r="88" spans="1:2">
      <c r="A88" t="s">
        <v>587</v>
      </c>
      <c r="B88" s="2" t="s">
        <v>952</v>
      </c>
    </row>
    <row r="89" spans="1:2">
      <c r="A89" t="s">
        <v>588</v>
      </c>
      <c r="B89" s="2" t="s">
        <v>953</v>
      </c>
    </row>
    <row r="90" spans="1:2" s="5" customFormat="1">
      <c r="A90" s="4" t="s">
        <v>589</v>
      </c>
      <c r="B90" s="6" t="s">
        <v>954</v>
      </c>
    </row>
    <row r="91" spans="1:2" s="5" customFormat="1">
      <c r="A91" t="s">
        <v>608</v>
      </c>
      <c r="B91" s="6" t="s">
        <v>955</v>
      </c>
    </row>
    <row r="92" spans="1:2" s="5" customFormat="1">
      <c r="A92" t="s">
        <v>610</v>
      </c>
      <c r="B92" s="6" t="s">
        <v>956</v>
      </c>
    </row>
    <row r="93" spans="1:2" s="5" customFormat="1">
      <c r="A93" t="s">
        <v>609</v>
      </c>
      <c r="B93" s="6" t="s">
        <v>957</v>
      </c>
    </row>
    <row r="94" spans="1:2" s="5" customFormat="1">
      <c r="A94" t="s">
        <v>611</v>
      </c>
      <c r="B94" s="6" t="s">
        <v>958</v>
      </c>
    </row>
    <row r="95" spans="1:2" s="5" customFormat="1">
      <c r="A95" t="s">
        <v>612</v>
      </c>
      <c r="B95" s="6" t="s">
        <v>959</v>
      </c>
    </row>
    <row r="96" spans="1:2" s="5" customFormat="1">
      <c r="A96" s="4" t="s">
        <v>613</v>
      </c>
      <c r="B96" s="6" t="s">
        <v>960</v>
      </c>
    </row>
    <row r="97" spans="1:2" s="5" customFormat="1">
      <c r="A97" s="5" t="s">
        <v>614</v>
      </c>
      <c r="B97" s="6" t="s">
        <v>961</v>
      </c>
    </row>
    <row r="98" spans="1:2" s="5" customFormat="1">
      <c r="A98" t="s">
        <v>1098</v>
      </c>
      <c r="B98" s="6" t="s">
        <v>962</v>
      </c>
    </row>
    <row r="99" spans="1:2" s="5" customFormat="1">
      <c r="A99" t="s">
        <v>1099</v>
      </c>
      <c r="B99" s="6" t="s">
        <v>963</v>
      </c>
    </row>
    <row r="100" spans="1:2" s="5" customFormat="1">
      <c r="A100" t="s">
        <v>1100</v>
      </c>
      <c r="B100" s="6" t="s">
        <v>964</v>
      </c>
    </row>
    <row r="101" spans="1:2" s="5" customFormat="1">
      <c r="A101" t="s">
        <v>1101</v>
      </c>
      <c r="B101" s="6" t="s">
        <v>965</v>
      </c>
    </row>
    <row r="102" spans="1:2" s="5" customFormat="1">
      <c r="A102" t="s">
        <v>1102</v>
      </c>
      <c r="B102" s="6" t="s">
        <v>966</v>
      </c>
    </row>
    <row r="103" spans="1:2" s="5" customFormat="1">
      <c r="A103" t="s">
        <v>1103</v>
      </c>
      <c r="B103" s="6" t="s">
        <v>967</v>
      </c>
    </row>
    <row r="104" spans="1:2" s="5" customFormat="1">
      <c r="A104" t="s">
        <v>1104</v>
      </c>
      <c r="B104" s="6" t="s">
        <v>968</v>
      </c>
    </row>
    <row r="105" spans="1:2" s="5" customFormat="1">
      <c r="A105" t="s">
        <v>1105</v>
      </c>
      <c r="B105" s="6" t="s">
        <v>969</v>
      </c>
    </row>
    <row r="106" spans="1:2" s="5" customFormat="1">
      <c r="A106" t="s">
        <v>1106</v>
      </c>
      <c r="B106" s="6" t="s">
        <v>970</v>
      </c>
    </row>
    <row r="107" spans="1:2" s="5" customFormat="1">
      <c r="A107" s="4" t="s">
        <v>1107</v>
      </c>
      <c r="B107" s="6" t="s">
        <v>971</v>
      </c>
    </row>
    <row r="108" spans="1:2" s="5" customFormat="1">
      <c r="A108" s="5" t="s">
        <v>1108</v>
      </c>
      <c r="B108" s="6" t="s">
        <v>972</v>
      </c>
    </row>
    <row r="109" spans="1:2" s="5" customFormat="1">
      <c r="A109" s="5" t="s">
        <v>1109</v>
      </c>
      <c r="B109" s="6" t="s">
        <v>973</v>
      </c>
    </row>
    <row r="110" spans="1:2" s="5" customFormat="1">
      <c r="A110" s="5" t="s">
        <v>1110</v>
      </c>
      <c r="B110" s="6" t="s">
        <v>974</v>
      </c>
    </row>
    <row r="111" spans="1:2" s="5" customFormat="1">
      <c r="A111" s="5" t="s">
        <v>1111</v>
      </c>
      <c r="B111" s="6" t="s">
        <v>1112</v>
      </c>
    </row>
    <row r="112" spans="1:2" s="5" customFormat="1">
      <c r="A112" t="s">
        <v>909</v>
      </c>
      <c r="B112" s="6" t="s">
        <v>1113</v>
      </c>
    </row>
    <row r="113" spans="1:2" s="5" customFormat="1">
      <c r="A113" t="s">
        <v>910</v>
      </c>
      <c r="B113" s="6" t="s">
        <v>1114</v>
      </c>
    </row>
    <row r="114" spans="1:2" s="5" customFormat="1">
      <c r="A114" t="s">
        <v>911</v>
      </c>
      <c r="B114" s="6" t="s">
        <v>1115</v>
      </c>
    </row>
    <row r="115" spans="1:2" s="5" customFormat="1">
      <c r="A115" t="s">
        <v>912</v>
      </c>
      <c r="B115" s="6" t="s">
        <v>1116</v>
      </c>
    </row>
    <row r="116" spans="1:2" s="5" customFormat="1">
      <c r="A116" t="s">
        <v>566</v>
      </c>
      <c r="B116" s="6" t="s">
        <v>1117</v>
      </c>
    </row>
    <row r="117" spans="1:2" s="5" customFormat="1">
      <c r="A117" t="s">
        <v>567</v>
      </c>
      <c r="B117" s="6" t="s">
        <v>1118</v>
      </c>
    </row>
    <row r="118" spans="1:2" s="5" customFormat="1">
      <c r="A118" t="s">
        <v>568</v>
      </c>
      <c r="B118" s="6" t="s">
        <v>1119</v>
      </c>
    </row>
    <row r="119" spans="1:2" s="5" customFormat="1">
      <c r="A119" t="s">
        <v>569</v>
      </c>
      <c r="B119" s="6" t="s">
        <v>1120</v>
      </c>
    </row>
    <row r="120" spans="1:2" s="5" customFormat="1">
      <c r="A120" t="s">
        <v>570</v>
      </c>
      <c r="B120" s="6" t="s">
        <v>1121</v>
      </c>
    </row>
    <row r="121" spans="1:2" s="5" customFormat="1">
      <c r="A121" s="4" t="s">
        <v>571</v>
      </c>
      <c r="B121" s="6" t="s">
        <v>1122</v>
      </c>
    </row>
    <row r="122" spans="1:2" s="5" customFormat="1">
      <c r="A122" s="5" t="s">
        <v>572</v>
      </c>
      <c r="B122" s="6" t="s">
        <v>1123</v>
      </c>
    </row>
    <row r="123" spans="1:2" s="5" customFormat="1">
      <c r="A123" s="5" t="s">
        <v>573</v>
      </c>
      <c r="B123" s="6" t="s">
        <v>1124</v>
      </c>
    </row>
    <row r="124" spans="1:2" s="5" customFormat="1">
      <c r="A124" s="5" t="s">
        <v>574</v>
      </c>
      <c r="B124" s="6" t="s">
        <v>1125</v>
      </c>
    </row>
    <row r="125" spans="1:2">
      <c r="A125" t="s">
        <v>98</v>
      </c>
      <c r="B125" s="1">
        <v>1</v>
      </c>
    </row>
    <row r="126" spans="1:2">
      <c r="A126" t="s">
        <v>99</v>
      </c>
      <c r="B126" s="1">
        <v>2</v>
      </c>
    </row>
    <row r="127" spans="1:2">
      <c r="A127" t="s">
        <v>51</v>
      </c>
      <c r="B127" s="1">
        <v>3</v>
      </c>
    </row>
    <row r="128" spans="1:2">
      <c r="A128" t="s">
        <v>52</v>
      </c>
      <c r="B128" s="1">
        <v>4</v>
      </c>
    </row>
    <row r="129" spans="1:2">
      <c r="A129" t="s">
        <v>53</v>
      </c>
      <c r="B129" s="1">
        <v>5</v>
      </c>
    </row>
    <row r="130" spans="1:2">
      <c r="A130" t="s">
        <v>697</v>
      </c>
      <c r="B130" s="1">
        <v>6</v>
      </c>
    </row>
    <row r="131" spans="1:2">
      <c r="A131" t="s">
        <v>905</v>
      </c>
      <c r="B131" s="1">
        <v>7</v>
      </c>
    </row>
    <row r="132" spans="1:2">
      <c r="A132" t="s">
        <v>903</v>
      </c>
      <c r="B132" s="1">
        <v>8</v>
      </c>
    </row>
    <row r="133" spans="1:2">
      <c r="A133" t="s">
        <v>54</v>
      </c>
      <c r="B133" s="1">
        <v>9</v>
      </c>
    </row>
    <row r="134" spans="1:2">
      <c r="A134" t="s">
        <v>55</v>
      </c>
      <c r="B134" s="1">
        <v>10</v>
      </c>
    </row>
    <row r="135" spans="1:2">
      <c r="A135" t="s">
        <v>56</v>
      </c>
      <c r="B135" s="1">
        <v>12</v>
      </c>
    </row>
    <row r="136" spans="1:2">
      <c r="A136" t="s">
        <v>705</v>
      </c>
      <c r="B136" s="1">
        <v>13</v>
      </c>
    </row>
    <row r="137" spans="1:2">
      <c r="A137" t="s">
        <v>702</v>
      </c>
      <c r="B137" s="1">
        <v>14</v>
      </c>
    </row>
    <row r="138" spans="1:2">
      <c r="A138" t="s">
        <v>703</v>
      </c>
      <c r="B138" s="1">
        <v>15</v>
      </c>
    </row>
    <row r="139" spans="1:2">
      <c r="A139" t="s">
        <v>704</v>
      </c>
      <c r="B139" s="1">
        <v>16</v>
      </c>
    </row>
    <row r="140" spans="1:2">
      <c r="A140" t="s">
        <v>57</v>
      </c>
      <c r="B140" s="1">
        <v>17</v>
      </c>
    </row>
    <row r="141" spans="1:2">
      <c r="A141" t="s">
        <v>58</v>
      </c>
      <c r="B141" s="1">
        <v>18</v>
      </c>
    </row>
    <row r="142" spans="1:2">
      <c r="A142" t="s">
        <v>59</v>
      </c>
      <c r="B142" s="1">
        <v>19</v>
      </c>
    </row>
    <row r="143" spans="1:2">
      <c r="A143" t="s">
        <v>902</v>
      </c>
      <c r="B143" s="1">
        <v>20</v>
      </c>
    </row>
    <row r="144" spans="1:2">
      <c r="A144" t="s">
        <v>60</v>
      </c>
      <c r="B144" s="1">
        <v>21</v>
      </c>
    </row>
    <row r="145" spans="1:2">
      <c r="A145" t="s">
        <v>61</v>
      </c>
      <c r="B145" s="1">
        <v>22</v>
      </c>
    </row>
    <row r="146" spans="1:2">
      <c r="A146" t="s">
        <v>62</v>
      </c>
      <c r="B146" s="1">
        <v>23</v>
      </c>
    </row>
    <row r="147" spans="1:2">
      <c r="A147" t="s">
        <v>63</v>
      </c>
      <c r="B147" s="1">
        <v>24</v>
      </c>
    </row>
    <row r="148" spans="1:2">
      <c r="A148" t="s">
        <v>64</v>
      </c>
      <c r="B148" s="1">
        <v>25</v>
      </c>
    </row>
    <row r="149" spans="1:2">
      <c r="A149" t="s">
        <v>65</v>
      </c>
      <c r="B149" s="1">
        <v>26</v>
      </c>
    </row>
    <row r="150" spans="1:2">
      <c r="A150" t="s">
        <v>66</v>
      </c>
      <c r="B150" s="1">
        <v>27</v>
      </c>
    </row>
    <row r="151" spans="1:2">
      <c r="A151" t="s">
        <v>67</v>
      </c>
      <c r="B151" s="1">
        <v>28</v>
      </c>
    </row>
    <row r="152" spans="1:2">
      <c r="A152" t="s">
        <v>68</v>
      </c>
      <c r="B152" s="1">
        <v>29</v>
      </c>
    </row>
    <row r="153" spans="1:2">
      <c r="A153" t="s">
        <v>69</v>
      </c>
      <c r="B153" s="1">
        <v>30</v>
      </c>
    </row>
    <row r="154" spans="1:2">
      <c r="A154" t="s">
        <v>70</v>
      </c>
      <c r="B154" s="1">
        <v>31</v>
      </c>
    </row>
    <row r="155" spans="1:2">
      <c r="A155" t="s">
        <v>71</v>
      </c>
      <c r="B155" s="1">
        <v>32</v>
      </c>
    </row>
    <row r="156" spans="1:2">
      <c r="A156" t="s">
        <v>975</v>
      </c>
      <c r="B156" s="1">
        <v>33</v>
      </c>
    </row>
    <row r="157" spans="1:2">
      <c r="A157" t="s">
        <v>976</v>
      </c>
      <c r="B157" s="1">
        <v>34</v>
      </c>
    </row>
    <row r="158" spans="1:2">
      <c r="A158" t="s">
        <v>977</v>
      </c>
      <c r="B158" s="1">
        <v>35</v>
      </c>
    </row>
    <row r="159" spans="1:2">
      <c r="A159" t="s">
        <v>978</v>
      </c>
      <c r="B159" s="1">
        <v>36</v>
      </c>
    </row>
    <row r="160" spans="1:2">
      <c r="A160" t="s">
        <v>979</v>
      </c>
      <c r="B160" s="1">
        <v>37</v>
      </c>
    </row>
    <row r="161" spans="1:2">
      <c r="A161" t="s">
        <v>980</v>
      </c>
      <c r="B161" s="1">
        <v>38</v>
      </c>
    </row>
    <row r="162" spans="1:2">
      <c r="A162" t="s">
        <v>72</v>
      </c>
      <c r="B162" s="1">
        <v>39</v>
      </c>
    </row>
    <row r="163" spans="1:2">
      <c r="A163" t="s">
        <v>73</v>
      </c>
      <c r="B163" s="1">
        <v>40</v>
      </c>
    </row>
    <row r="164" spans="1:2">
      <c r="A164" t="s">
        <v>74</v>
      </c>
      <c r="B164" s="1">
        <v>41</v>
      </c>
    </row>
    <row r="165" spans="1:2">
      <c r="A165" t="s">
        <v>75</v>
      </c>
      <c r="B165" s="1">
        <v>43</v>
      </c>
    </row>
    <row r="166" spans="1:2">
      <c r="A166" t="s">
        <v>709</v>
      </c>
      <c r="B166" s="1">
        <v>44</v>
      </c>
    </row>
    <row r="167" spans="1:2">
      <c r="A167" t="s">
        <v>706</v>
      </c>
      <c r="B167" s="1">
        <v>45</v>
      </c>
    </row>
    <row r="168" spans="1:2">
      <c r="A168" t="s">
        <v>707</v>
      </c>
      <c r="B168" s="1">
        <v>46</v>
      </c>
    </row>
    <row r="169" spans="1:2">
      <c r="A169" t="s">
        <v>708</v>
      </c>
      <c r="B169" s="1">
        <v>47</v>
      </c>
    </row>
    <row r="170" spans="1:2">
      <c r="A170" t="s">
        <v>76</v>
      </c>
      <c r="B170" s="1">
        <v>48</v>
      </c>
    </row>
    <row r="171" spans="1:2">
      <c r="A171" t="s">
        <v>77</v>
      </c>
      <c r="B171" s="1">
        <v>49</v>
      </c>
    </row>
    <row r="172" spans="1:2">
      <c r="A172" t="s">
        <v>78</v>
      </c>
      <c r="B172" s="1">
        <v>50</v>
      </c>
    </row>
    <row r="173" spans="1:2">
      <c r="A173" t="s">
        <v>79</v>
      </c>
      <c r="B173" s="1">
        <v>51</v>
      </c>
    </row>
    <row r="174" spans="1:2">
      <c r="A174" t="s">
        <v>80</v>
      </c>
      <c r="B174" s="1">
        <v>52</v>
      </c>
    </row>
    <row r="175" spans="1:2">
      <c r="A175" t="s">
        <v>81</v>
      </c>
      <c r="B175" s="1">
        <v>53</v>
      </c>
    </row>
    <row r="176" spans="1:2">
      <c r="A176" t="s">
        <v>82</v>
      </c>
      <c r="B176" s="1">
        <v>54</v>
      </c>
    </row>
    <row r="177" spans="1:2">
      <c r="A177" t="s">
        <v>83</v>
      </c>
      <c r="B177" s="1">
        <v>55</v>
      </c>
    </row>
    <row r="178" spans="1:2">
      <c r="A178" t="s">
        <v>84</v>
      </c>
      <c r="B178" s="1">
        <v>56</v>
      </c>
    </row>
    <row r="179" spans="1:2">
      <c r="A179" t="s">
        <v>85</v>
      </c>
      <c r="B179" s="1">
        <v>57</v>
      </c>
    </row>
    <row r="180" spans="1:2">
      <c r="A180" t="s">
        <v>86</v>
      </c>
      <c r="B180" s="1">
        <v>58</v>
      </c>
    </row>
    <row r="181" spans="1:2">
      <c r="A181" t="s">
        <v>87</v>
      </c>
      <c r="B181" s="1">
        <v>59</v>
      </c>
    </row>
    <row r="182" spans="1:2">
      <c r="A182" t="s">
        <v>88</v>
      </c>
      <c r="B182" s="1">
        <v>60</v>
      </c>
    </row>
    <row r="183" spans="1:2">
      <c r="A183" t="s">
        <v>89</v>
      </c>
      <c r="B183" s="1">
        <v>61</v>
      </c>
    </row>
    <row r="184" spans="1:2">
      <c r="A184" t="s">
        <v>90</v>
      </c>
      <c r="B184" s="1">
        <v>62</v>
      </c>
    </row>
    <row r="185" spans="1:2">
      <c r="A185" t="s">
        <v>91</v>
      </c>
      <c r="B185" s="1">
        <v>63</v>
      </c>
    </row>
    <row r="186" spans="1:2">
      <c r="A186" t="s">
        <v>981</v>
      </c>
      <c r="B186" s="1">
        <v>64</v>
      </c>
    </row>
    <row r="187" spans="1:2">
      <c r="A187" t="s">
        <v>982</v>
      </c>
      <c r="B187" s="1">
        <v>65</v>
      </c>
    </row>
    <row r="188" spans="1:2">
      <c r="A188" t="s">
        <v>983</v>
      </c>
      <c r="B188" s="1">
        <v>66</v>
      </c>
    </row>
    <row r="189" spans="1:2">
      <c r="A189" t="s">
        <v>984</v>
      </c>
      <c r="B189" s="1">
        <v>67</v>
      </c>
    </row>
    <row r="190" spans="1:2">
      <c r="A190" t="s">
        <v>985</v>
      </c>
      <c r="B190" s="1">
        <v>68</v>
      </c>
    </row>
    <row r="191" spans="1:2">
      <c r="A191" t="s">
        <v>986</v>
      </c>
      <c r="B191" s="1">
        <v>69</v>
      </c>
    </row>
    <row r="192" spans="1:2">
      <c r="A192" t="s">
        <v>92</v>
      </c>
      <c r="B192" s="1">
        <v>70</v>
      </c>
    </row>
    <row r="193" spans="1:2">
      <c r="A193" t="s">
        <v>93</v>
      </c>
      <c r="B193" s="1">
        <v>71</v>
      </c>
    </row>
    <row r="194" spans="1:2">
      <c r="A194" t="s">
        <v>94</v>
      </c>
      <c r="B194" s="1">
        <v>72</v>
      </c>
    </row>
    <row r="195" spans="1:2">
      <c r="A195" t="s">
        <v>95</v>
      </c>
      <c r="B195" s="2" t="s">
        <v>987</v>
      </c>
    </row>
    <row r="196" spans="1:2">
      <c r="A196" t="s">
        <v>96</v>
      </c>
      <c r="B196" s="2" t="s">
        <v>988</v>
      </c>
    </row>
    <row r="197" spans="1:2">
      <c r="A197" t="s">
        <v>590</v>
      </c>
      <c r="B197" s="2" t="s">
        <v>989</v>
      </c>
    </row>
    <row r="198" spans="1:2">
      <c r="A198" t="s">
        <v>591</v>
      </c>
      <c r="B198" s="2" t="s">
        <v>990</v>
      </c>
    </row>
    <row r="199" spans="1:2">
      <c r="A199" t="s">
        <v>592</v>
      </c>
      <c r="B199" s="2" t="s">
        <v>991</v>
      </c>
    </row>
    <row r="200" spans="1:2">
      <c r="A200" t="s">
        <v>593</v>
      </c>
      <c r="B200" s="2" t="s">
        <v>992</v>
      </c>
    </row>
    <row r="201" spans="1:2">
      <c r="A201" t="s">
        <v>594</v>
      </c>
      <c r="B201" s="2" t="s">
        <v>993</v>
      </c>
    </row>
    <row r="202" spans="1:2">
      <c r="A202" s="4" t="s">
        <v>595</v>
      </c>
      <c r="B202" s="2" t="s">
        <v>994</v>
      </c>
    </row>
    <row r="203" spans="1:2">
      <c r="A203" t="s">
        <v>615</v>
      </c>
      <c r="B203" s="2" t="s">
        <v>995</v>
      </c>
    </row>
    <row r="204" spans="1:2">
      <c r="A204" t="s">
        <v>616</v>
      </c>
      <c r="B204" s="2" t="s">
        <v>996</v>
      </c>
    </row>
    <row r="205" spans="1:2">
      <c r="A205" t="s">
        <v>617</v>
      </c>
      <c r="B205" s="2" t="s">
        <v>997</v>
      </c>
    </row>
    <row r="206" spans="1:2">
      <c r="A206" t="s">
        <v>618</v>
      </c>
      <c r="B206" s="2" t="s">
        <v>998</v>
      </c>
    </row>
    <row r="207" spans="1:2">
      <c r="A207" t="s">
        <v>619</v>
      </c>
      <c r="B207" s="2" t="s">
        <v>999</v>
      </c>
    </row>
    <row r="208" spans="1:2">
      <c r="A208" s="4" t="s">
        <v>620</v>
      </c>
      <c r="B208" s="2" t="s">
        <v>1000</v>
      </c>
    </row>
    <row r="209" spans="1:2">
      <c r="A209" s="5" t="s">
        <v>621</v>
      </c>
      <c r="B209" s="2" t="s">
        <v>1001</v>
      </c>
    </row>
    <row r="210" spans="1:2" s="5" customFormat="1">
      <c r="A210" t="s">
        <v>1126</v>
      </c>
      <c r="B210" s="6" t="s">
        <v>1140</v>
      </c>
    </row>
    <row r="211" spans="1:2" s="5" customFormat="1">
      <c r="A211" t="s">
        <v>1127</v>
      </c>
      <c r="B211" s="6" t="s">
        <v>1141</v>
      </c>
    </row>
    <row r="212" spans="1:2" s="5" customFormat="1">
      <c r="A212" t="s">
        <v>1128</v>
      </c>
      <c r="B212" s="6" t="s">
        <v>1142</v>
      </c>
    </row>
    <row r="213" spans="1:2" s="5" customFormat="1">
      <c r="A213" t="s">
        <v>1129</v>
      </c>
      <c r="B213" s="6" t="s">
        <v>1143</v>
      </c>
    </row>
    <row r="214" spans="1:2" s="5" customFormat="1">
      <c r="A214" t="s">
        <v>1130</v>
      </c>
      <c r="B214" s="6" t="s">
        <v>1144</v>
      </c>
    </row>
    <row r="215" spans="1:2" s="5" customFormat="1">
      <c r="A215" t="s">
        <v>1131</v>
      </c>
      <c r="B215" s="6" t="s">
        <v>1145</v>
      </c>
    </row>
    <row r="216" spans="1:2" s="5" customFormat="1">
      <c r="A216" t="s">
        <v>1132</v>
      </c>
      <c r="B216" s="6" t="s">
        <v>1146</v>
      </c>
    </row>
    <row r="217" spans="1:2" s="5" customFormat="1">
      <c r="A217" t="s">
        <v>1133</v>
      </c>
      <c r="B217" s="6" t="s">
        <v>1147</v>
      </c>
    </row>
    <row r="218" spans="1:2" s="5" customFormat="1">
      <c r="A218" t="s">
        <v>1134</v>
      </c>
      <c r="B218" s="6" t="s">
        <v>1148</v>
      </c>
    </row>
    <row r="219" spans="1:2" s="5" customFormat="1">
      <c r="A219" s="4" t="s">
        <v>1135</v>
      </c>
      <c r="B219" s="6" t="s">
        <v>1149</v>
      </c>
    </row>
    <row r="220" spans="1:2" s="5" customFormat="1">
      <c r="A220" s="5" t="s">
        <v>1136</v>
      </c>
      <c r="B220" s="6" t="s">
        <v>1150</v>
      </c>
    </row>
    <row r="221" spans="1:2" s="5" customFormat="1">
      <c r="A221" s="5" t="s">
        <v>1137</v>
      </c>
      <c r="B221" s="6" t="s">
        <v>1151</v>
      </c>
    </row>
    <row r="222" spans="1:2" s="5" customFormat="1">
      <c r="A222" s="5" t="s">
        <v>1138</v>
      </c>
      <c r="B222" s="6" t="s">
        <v>1152</v>
      </c>
    </row>
    <row r="223" spans="1:2" s="5" customFormat="1">
      <c r="A223" s="5" t="s">
        <v>1139</v>
      </c>
      <c r="B223" s="6" t="s">
        <v>1153</v>
      </c>
    </row>
    <row r="224" spans="1:2">
      <c r="A224" t="s">
        <v>913</v>
      </c>
      <c r="B224" s="6" t="s">
        <v>1154</v>
      </c>
    </row>
    <row r="225" spans="1:2">
      <c r="A225" t="s">
        <v>914</v>
      </c>
      <c r="B225" s="6" t="s">
        <v>1155</v>
      </c>
    </row>
    <row r="226" spans="1:2">
      <c r="A226" t="s">
        <v>915</v>
      </c>
      <c r="B226" s="6" t="s">
        <v>1156</v>
      </c>
    </row>
    <row r="227" spans="1:2">
      <c r="A227" t="s">
        <v>916</v>
      </c>
      <c r="B227" s="6" t="s">
        <v>1157</v>
      </c>
    </row>
    <row r="228" spans="1:2">
      <c r="A228" t="s">
        <v>277</v>
      </c>
      <c r="B228" s="6" t="s">
        <v>1158</v>
      </c>
    </row>
    <row r="229" spans="1:2">
      <c r="A229" t="s">
        <v>276</v>
      </c>
      <c r="B229" s="6" t="s">
        <v>1159</v>
      </c>
    </row>
    <row r="230" spans="1:2">
      <c r="A230" t="s">
        <v>539</v>
      </c>
      <c r="B230" s="6" t="s">
        <v>1160</v>
      </c>
    </row>
    <row r="231" spans="1:2">
      <c r="A231" t="s">
        <v>540</v>
      </c>
      <c r="B231" s="6" t="s">
        <v>1161</v>
      </c>
    </row>
    <row r="232" spans="1:2">
      <c r="A232" t="s">
        <v>544</v>
      </c>
      <c r="B232" s="6" t="s">
        <v>1162</v>
      </c>
    </row>
    <row r="233" spans="1:2">
      <c r="A233" s="4" t="s">
        <v>545</v>
      </c>
      <c r="B233" s="6" t="s">
        <v>1163</v>
      </c>
    </row>
    <row r="234" spans="1:2">
      <c r="A234" s="5" t="s">
        <v>546</v>
      </c>
      <c r="B234" s="6" t="s">
        <v>1164</v>
      </c>
    </row>
    <row r="235" spans="1:2">
      <c r="A235" s="5" t="s">
        <v>547</v>
      </c>
      <c r="B235" s="6" t="s">
        <v>1165</v>
      </c>
    </row>
    <row r="236" spans="1:2">
      <c r="A236" s="5" t="s">
        <v>548</v>
      </c>
      <c r="B236" s="6" t="s">
        <v>1166</v>
      </c>
    </row>
    <row r="237" spans="1:2">
      <c r="A237" t="s">
        <v>191</v>
      </c>
      <c r="B237" s="1">
        <v>1</v>
      </c>
    </row>
    <row r="238" spans="1:2">
      <c r="A238" t="s">
        <v>192</v>
      </c>
      <c r="B238" s="1">
        <v>2</v>
      </c>
    </row>
    <row r="239" spans="1:2">
      <c r="A239" t="s">
        <v>193</v>
      </c>
      <c r="B239" s="1">
        <v>3</v>
      </c>
    </row>
    <row r="240" spans="1:2">
      <c r="A240" t="s">
        <v>194</v>
      </c>
      <c r="B240" s="1">
        <v>4</v>
      </c>
    </row>
    <row r="241" spans="1:2">
      <c r="A241" t="s">
        <v>195</v>
      </c>
      <c r="B241" s="1">
        <v>5</v>
      </c>
    </row>
    <row r="242" spans="1:2">
      <c r="A242" t="s">
        <v>718</v>
      </c>
      <c r="B242" s="1">
        <v>6</v>
      </c>
    </row>
    <row r="243" spans="1:2">
      <c r="A243" t="s">
        <v>906</v>
      </c>
      <c r="B243" s="1">
        <v>7</v>
      </c>
    </row>
    <row r="244" spans="1:2">
      <c r="A244" t="s">
        <v>718</v>
      </c>
      <c r="B244" s="1">
        <v>8</v>
      </c>
    </row>
    <row r="245" spans="1:2">
      <c r="A245" t="s">
        <v>196</v>
      </c>
      <c r="B245" s="1">
        <v>9</v>
      </c>
    </row>
    <row r="246" spans="1:2">
      <c r="A246" t="s">
        <v>197</v>
      </c>
      <c r="B246" s="1">
        <v>10</v>
      </c>
    </row>
    <row r="247" spans="1:2">
      <c r="A247" t="s">
        <v>198</v>
      </c>
      <c r="B247" s="1">
        <v>12</v>
      </c>
    </row>
    <row r="248" spans="1:2">
      <c r="A248" t="s">
        <v>713</v>
      </c>
      <c r="B248" s="1">
        <v>13</v>
      </c>
    </row>
    <row r="249" spans="1:2">
      <c r="A249" t="s">
        <v>710</v>
      </c>
      <c r="B249" s="1">
        <v>14</v>
      </c>
    </row>
    <row r="250" spans="1:2">
      <c r="A250" t="s">
        <v>711</v>
      </c>
      <c r="B250" s="1">
        <v>15</v>
      </c>
    </row>
    <row r="251" spans="1:2">
      <c r="A251" t="s">
        <v>712</v>
      </c>
      <c r="B251" s="1">
        <v>16</v>
      </c>
    </row>
    <row r="252" spans="1:2">
      <c r="A252" t="s">
        <v>199</v>
      </c>
      <c r="B252" s="1">
        <v>17</v>
      </c>
    </row>
    <row r="253" spans="1:2">
      <c r="A253" t="s">
        <v>200</v>
      </c>
      <c r="B253" s="1">
        <v>18</v>
      </c>
    </row>
    <row r="254" spans="1:2">
      <c r="A254" t="s">
        <v>201</v>
      </c>
      <c r="B254" s="1">
        <v>19</v>
      </c>
    </row>
    <row r="255" spans="1:2">
      <c r="A255" t="s">
        <v>202</v>
      </c>
      <c r="B255" s="1">
        <v>20</v>
      </c>
    </row>
    <row r="256" spans="1:2">
      <c r="A256" t="s">
        <v>203</v>
      </c>
      <c r="B256" s="1">
        <v>21</v>
      </c>
    </row>
    <row r="257" spans="1:2">
      <c r="A257" t="s">
        <v>204</v>
      </c>
      <c r="B257" s="1">
        <v>22</v>
      </c>
    </row>
    <row r="258" spans="1:2">
      <c r="A258" t="s">
        <v>205</v>
      </c>
      <c r="B258" s="1">
        <v>23</v>
      </c>
    </row>
    <row r="259" spans="1:2">
      <c r="A259" t="s">
        <v>206</v>
      </c>
      <c r="B259" s="1">
        <v>24</v>
      </c>
    </row>
    <row r="260" spans="1:2">
      <c r="A260" t="s">
        <v>207</v>
      </c>
      <c r="B260" s="1">
        <v>25</v>
      </c>
    </row>
    <row r="261" spans="1:2">
      <c r="A261" t="s">
        <v>208</v>
      </c>
      <c r="B261" s="1">
        <v>26</v>
      </c>
    </row>
    <row r="262" spans="1:2">
      <c r="A262" t="s">
        <v>209</v>
      </c>
      <c r="B262" s="1">
        <v>27</v>
      </c>
    </row>
    <row r="263" spans="1:2">
      <c r="A263" t="s">
        <v>210</v>
      </c>
      <c r="B263" s="1">
        <v>28</v>
      </c>
    </row>
    <row r="264" spans="1:2">
      <c r="A264" t="s">
        <v>211</v>
      </c>
      <c r="B264" s="1">
        <v>29</v>
      </c>
    </row>
    <row r="265" spans="1:2">
      <c r="A265" t="s">
        <v>212</v>
      </c>
      <c r="B265" s="1">
        <v>30</v>
      </c>
    </row>
    <row r="266" spans="1:2">
      <c r="A266" t="s">
        <v>213</v>
      </c>
      <c r="B266" s="1">
        <v>31</v>
      </c>
    </row>
    <row r="267" spans="1:2">
      <c r="A267" t="s">
        <v>214</v>
      </c>
      <c r="B267" s="1">
        <v>32</v>
      </c>
    </row>
    <row r="268" spans="1:2">
      <c r="A268" t="s">
        <v>215</v>
      </c>
      <c r="B268" s="1">
        <v>33</v>
      </c>
    </row>
    <row r="269" spans="1:2">
      <c r="A269" t="s">
        <v>216</v>
      </c>
      <c r="B269" s="1">
        <v>34</v>
      </c>
    </row>
    <row r="270" spans="1:2">
      <c r="A270" t="s">
        <v>217</v>
      </c>
      <c r="B270" s="1">
        <v>35</v>
      </c>
    </row>
    <row r="271" spans="1:2">
      <c r="A271" t="s">
        <v>218</v>
      </c>
      <c r="B271" s="1">
        <v>36</v>
      </c>
    </row>
    <row r="272" spans="1:2">
      <c r="A272" t="s">
        <v>1002</v>
      </c>
      <c r="B272" s="1">
        <v>37</v>
      </c>
    </row>
    <row r="273" spans="1:2">
      <c r="A273" t="s">
        <v>1003</v>
      </c>
      <c r="B273" s="1">
        <v>38</v>
      </c>
    </row>
    <row r="274" spans="1:2">
      <c r="A274" t="s">
        <v>1004</v>
      </c>
      <c r="B274" s="1">
        <v>39</v>
      </c>
    </row>
    <row r="275" spans="1:2">
      <c r="A275" t="s">
        <v>1005</v>
      </c>
      <c r="B275" s="1">
        <v>40</v>
      </c>
    </row>
    <row r="276" spans="1:2">
      <c r="A276" t="s">
        <v>1006</v>
      </c>
      <c r="B276" s="1">
        <v>41</v>
      </c>
    </row>
    <row r="277" spans="1:2">
      <c r="A277" t="s">
        <v>1007</v>
      </c>
      <c r="B277" s="1">
        <v>42</v>
      </c>
    </row>
    <row r="278" spans="1:2">
      <c r="A278" t="s">
        <v>219</v>
      </c>
      <c r="B278" s="1">
        <v>43</v>
      </c>
    </row>
    <row r="279" spans="1:2">
      <c r="A279" t="s">
        <v>220</v>
      </c>
      <c r="B279" s="1">
        <v>44</v>
      </c>
    </row>
    <row r="280" spans="1:2">
      <c r="A280" t="s">
        <v>221</v>
      </c>
      <c r="B280" s="1">
        <v>45</v>
      </c>
    </row>
    <row r="281" spans="1:2">
      <c r="A281" t="s">
        <v>222</v>
      </c>
      <c r="B281" s="1">
        <v>47</v>
      </c>
    </row>
    <row r="282" spans="1:2">
      <c r="A282" t="s">
        <v>714</v>
      </c>
      <c r="B282" s="1">
        <v>48</v>
      </c>
    </row>
    <row r="283" spans="1:2">
      <c r="A283" t="s">
        <v>715</v>
      </c>
      <c r="B283" s="1">
        <v>49</v>
      </c>
    </row>
    <row r="284" spans="1:2">
      <c r="A284" t="s">
        <v>716</v>
      </c>
      <c r="B284" s="1">
        <v>50</v>
      </c>
    </row>
    <row r="285" spans="1:2">
      <c r="A285" t="s">
        <v>717</v>
      </c>
      <c r="B285" s="1">
        <v>51</v>
      </c>
    </row>
    <row r="286" spans="1:2">
      <c r="A286" t="s">
        <v>223</v>
      </c>
      <c r="B286" s="1">
        <v>52</v>
      </c>
    </row>
    <row r="287" spans="1:2">
      <c r="A287" t="s">
        <v>224</v>
      </c>
      <c r="B287" s="1">
        <v>53</v>
      </c>
    </row>
    <row r="288" spans="1:2">
      <c r="A288" t="s">
        <v>225</v>
      </c>
      <c r="B288" s="1">
        <v>54</v>
      </c>
    </row>
    <row r="289" spans="1:2">
      <c r="A289" t="s">
        <v>226</v>
      </c>
      <c r="B289" s="1">
        <v>55</v>
      </c>
    </row>
    <row r="290" spans="1:2">
      <c r="A290" t="s">
        <v>227</v>
      </c>
      <c r="B290" s="1">
        <v>56</v>
      </c>
    </row>
    <row r="291" spans="1:2">
      <c r="A291" t="s">
        <v>228</v>
      </c>
      <c r="B291" s="1">
        <v>57</v>
      </c>
    </row>
    <row r="292" spans="1:2">
      <c r="A292" t="s">
        <v>229</v>
      </c>
      <c r="B292" s="1">
        <v>58</v>
      </c>
    </row>
    <row r="293" spans="1:2">
      <c r="A293" t="s">
        <v>230</v>
      </c>
      <c r="B293" s="1">
        <v>59</v>
      </c>
    </row>
    <row r="294" spans="1:2">
      <c r="A294" t="s">
        <v>231</v>
      </c>
      <c r="B294" s="1">
        <v>60</v>
      </c>
    </row>
    <row r="295" spans="1:2">
      <c r="A295" t="s">
        <v>232</v>
      </c>
      <c r="B295" s="1">
        <v>61</v>
      </c>
    </row>
    <row r="296" spans="1:2">
      <c r="A296" t="s">
        <v>233</v>
      </c>
      <c r="B296" s="1">
        <v>62</v>
      </c>
    </row>
    <row r="297" spans="1:2">
      <c r="A297" t="s">
        <v>234</v>
      </c>
      <c r="B297" s="1">
        <v>63</v>
      </c>
    </row>
    <row r="298" spans="1:2">
      <c r="A298" t="s">
        <v>235</v>
      </c>
      <c r="B298" s="1">
        <v>64</v>
      </c>
    </row>
    <row r="299" spans="1:2">
      <c r="A299" t="s">
        <v>236</v>
      </c>
      <c r="B299" s="1">
        <v>65</v>
      </c>
    </row>
    <row r="300" spans="1:2">
      <c r="A300" t="s">
        <v>237</v>
      </c>
      <c r="B300" s="1">
        <v>66</v>
      </c>
    </row>
    <row r="301" spans="1:2">
      <c r="A301" t="s">
        <v>238</v>
      </c>
      <c r="B301" s="1">
        <v>67</v>
      </c>
    </row>
    <row r="302" spans="1:2">
      <c r="A302" t="s">
        <v>239</v>
      </c>
      <c r="B302" s="1">
        <v>68</v>
      </c>
    </row>
    <row r="303" spans="1:2">
      <c r="A303" t="s">
        <v>240</v>
      </c>
      <c r="B303" s="1">
        <v>69</v>
      </c>
    </row>
    <row r="304" spans="1:2">
      <c r="A304" t="s">
        <v>241</v>
      </c>
      <c r="B304" s="1">
        <v>70</v>
      </c>
    </row>
    <row r="305" spans="1:2">
      <c r="A305" t="s">
        <v>242</v>
      </c>
      <c r="B305" s="1">
        <v>71</v>
      </c>
    </row>
    <row r="306" spans="1:2">
      <c r="A306" t="s">
        <v>1008</v>
      </c>
      <c r="B306" s="1">
        <v>72</v>
      </c>
    </row>
    <row r="307" spans="1:2">
      <c r="A307" t="s">
        <v>1009</v>
      </c>
      <c r="B307" s="1">
        <v>73</v>
      </c>
    </row>
    <row r="308" spans="1:2">
      <c r="A308" t="s">
        <v>1010</v>
      </c>
      <c r="B308" s="1">
        <v>74</v>
      </c>
    </row>
    <row r="309" spans="1:2">
      <c r="A309" t="s">
        <v>1011</v>
      </c>
      <c r="B309" s="1">
        <v>75</v>
      </c>
    </row>
    <row r="310" spans="1:2">
      <c r="A310" t="s">
        <v>1012</v>
      </c>
      <c r="B310" s="1">
        <v>76</v>
      </c>
    </row>
    <row r="311" spans="1:2">
      <c r="A311" t="s">
        <v>1013</v>
      </c>
      <c r="B311" s="1">
        <v>77</v>
      </c>
    </row>
    <row r="312" spans="1:2">
      <c r="A312" t="s">
        <v>243</v>
      </c>
      <c r="B312" s="1">
        <v>78</v>
      </c>
    </row>
    <row r="313" spans="1:2">
      <c r="A313" t="s">
        <v>244</v>
      </c>
      <c r="B313" s="1">
        <v>79</v>
      </c>
    </row>
    <row r="314" spans="1:2">
      <c r="A314" t="s">
        <v>245</v>
      </c>
      <c r="B314" s="1">
        <v>80</v>
      </c>
    </row>
    <row r="315" spans="1:2">
      <c r="A315" t="s">
        <v>1014</v>
      </c>
      <c r="B315" s="1">
        <v>82</v>
      </c>
    </row>
    <row r="316" spans="1:2">
      <c r="A316" t="s">
        <v>1015</v>
      </c>
      <c r="B316" s="1">
        <v>83</v>
      </c>
    </row>
    <row r="317" spans="1:2">
      <c r="A317" t="s">
        <v>1016</v>
      </c>
      <c r="B317" s="1">
        <v>84</v>
      </c>
    </row>
    <row r="318" spans="1:2">
      <c r="A318" t="s">
        <v>1017</v>
      </c>
      <c r="B318" s="1">
        <v>85</v>
      </c>
    </row>
    <row r="319" spans="1:2">
      <c r="A319" t="s">
        <v>1018</v>
      </c>
      <c r="B319" s="1">
        <v>86</v>
      </c>
    </row>
    <row r="320" spans="1:2">
      <c r="A320" t="s">
        <v>1019</v>
      </c>
      <c r="B320" s="1">
        <v>87</v>
      </c>
    </row>
    <row r="321" spans="1:2">
      <c r="A321" t="s">
        <v>1020</v>
      </c>
      <c r="B321" s="1">
        <v>88</v>
      </c>
    </row>
    <row r="322" spans="1:2">
      <c r="A322" t="s">
        <v>1021</v>
      </c>
      <c r="B322" s="1">
        <v>89</v>
      </c>
    </row>
    <row r="323" spans="1:2">
      <c r="A323" t="s">
        <v>246</v>
      </c>
      <c r="B323" s="1">
        <v>90</v>
      </c>
    </row>
    <row r="324" spans="1:2">
      <c r="A324" t="s">
        <v>247</v>
      </c>
      <c r="B324" s="1">
        <v>91</v>
      </c>
    </row>
    <row r="325" spans="1:2">
      <c r="A325" t="s">
        <v>280</v>
      </c>
      <c r="B325" s="1">
        <v>92</v>
      </c>
    </row>
    <row r="326" spans="1:2">
      <c r="A326" t="s">
        <v>281</v>
      </c>
      <c r="B326" s="1">
        <v>93</v>
      </c>
    </row>
    <row r="327" spans="1:2">
      <c r="A327" t="s">
        <v>248</v>
      </c>
      <c r="B327" s="1">
        <v>95</v>
      </c>
    </row>
    <row r="328" spans="1:2">
      <c r="A328" t="s">
        <v>249</v>
      </c>
      <c r="B328" s="1">
        <v>96</v>
      </c>
    </row>
    <row r="329" spans="1:2">
      <c r="A329" t="s">
        <v>250</v>
      </c>
      <c r="B329" s="1">
        <v>97</v>
      </c>
    </row>
    <row r="330" spans="1:2">
      <c r="A330" t="s">
        <v>251</v>
      </c>
      <c r="B330" s="1">
        <v>98</v>
      </c>
    </row>
    <row r="331" spans="1:2">
      <c r="A331" t="s">
        <v>252</v>
      </c>
      <c r="B331" s="1">
        <v>100</v>
      </c>
    </row>
    <row r="332" spans="1:2">
      <c r="A332" t="s">
        <v>253</v>
      </c>
      <c r="B332" s="1">
        <v>101</v>
      </c>
    </row>
    <row r="333" spans="1:2">
      <c r="A333" t="s">
        <v>254</v>
      </c>
      <c r="B333" s="1">
        <v>102</v>
      </c>
    </row>
    <row r="334" spans="1:2">
      <c r="A334" t="s">
        <v>255</v>
      </c>
      <c r="B334" s="1">
        <v>103</v>
      </c>
    </row>
    <row r="335" spans="1:2">
      <c r="A335" t="s">
        <v>256</v>
      </c>
      <c r="B335" s="1">
        <v>105</v>
      </c>
    </row>
    <row r="336" spans="1:2">
      <c r="A336" t="s">
        <v>257</v>
      </c>
      <c r="B336" s="1">
        <v>106</v>
      </c>
    </row>
    <row r="337" spans="1:2">
      <c r="A337" t="s">
        <v>258</v>
      </c>
      <c r="B337" s="1">
        <v>107</v>
      </c>
    </row>
    <row r="338" spans="1:2">
      <c r="A338" t="s">
        <v>259</v>
      </c>
      <c r="B338" s="1">
        <v>108</v>
      </c>
    </row>
    <row r="339" spans="1:2">
      <c r="A339" t="s">
        <v>260</v>
      </c>
      <c r="B339" s="1">
        <v>110</v>
      </c>
    </row>
    <row r="340" spans="1:2">
      <c r="A340" t="s">
        <v>261</v>
      </c>
      <c r="B340" s="1">
        <v>111</v>
      </c>
    </row>
    <row r="341" spans="1:2">
      <c r="A341" t="s">
        <v>262</v>
      </c>
      <c r="B341" s="1">
        <v>112</v>
      </c>
    </row>
    <row r="342" spans="1:2">
      <c r="A342" t="s">
        <v>263</v>
      </c>
      <c r="B342" s="1">
        <v>113</v>
      </c>
    </row>
    <row r="343" spans="1:2">
      <c r="A343" t="s">
        <v>264</v>
      </c>
      <c r="B343" s="2" t="s">
        <v>1022</v>
      </c>
    </row>
    <row r="344" spans="1:2">
      <c r="A344" t="s">
        <v>265</v>
      </c>
      <c r="B344" s="2" t="s">
        <v>1023</v>
      </c>
    </row>
    <row r="345" spans="1:2">
      <c r="A345" t="s">
        <v>596</v>
      </c>
      <c r="B345" s="2" t="s">
        <v>1024</v>
      </c>
    </row>
    <row r="346" spans="1:2">
      <c r="A346" t="s">
        <v>597</v>
      </c>
      <c r="B346" s="2" t="s">
        <v>1025</v>
      </c>
    </row>
    <row r="347" spans="1:2">
      <c r="A347" t="s">
        <v>598</v>
      </c>
      <c r="B347" s="2" t="s">
        <v>1026</v>
      </c>
    </row>
    <row r="348" spans="1:2">
      <c r="A348" t="s">
        <v>599</v>
      </c>
      <c r="B348" s="2" t="s">
        <v>1027</v>
      </c>
    </row>
    <row r="349" spans="1:2">
      <c r="A349" t="s">
        <v>600</v>
      </c>
      <c r="B349" s="2" t="s">
        <v>1028</v>
      </c>
    </row>
    <row r="350" spans="1:2">
      <c r="A350" s="4" t="s">
        <v>601</v>
      </c>
      <c r="B350" s="2" t="s">
        <v>1029</v>
      </c>
    </row>
    <row r="351" spans="1:2">
      <c r="A351" t="s">
        <v>622</v>
      </c>
      <c r="B351" s="2" t="s">
        <v>1030</v>
      </c>
    </row>
    <row r="352" spans="1:2">
      <c r="A352" t="s">
        <v>623</v>
      </c>
      <c r="B352" s="2" t="s">
        <v>1031</v>
      </c>
    </row>
    <row r="353" spans="1:2">
      <c r="A353" t="s">
        <v>624</v>
      </c>
      <c r="B353" s="2" t="s">
        <v>1032</v>
      </c>
    </row>
    <row r="354" spans="1:2">
      <c r="A354" t="s">
        <v>625</v>
      </c>
      <c r="B354" s="2" t="s">
        <v>1033</v>
      </c>
    </row>
    <row r="355" spans="1:2">
      <c r="A355" t="s">
        <v>626</v>
      </c>
      <c r="B355" s="2" t="s">
        <v>1034</v>
      </c>
    </row>
    <row r="356" spans="1:2">
      <c r="A356" s="4" t="s">
        <v>627</v>
      </c>
      <c r="B356" s="2" t="s">
        <v>1035</v>
      </c>
    </row>
    <row r="357" spans="1:2">
      <c r="A357" s="5" t="s">
        <v>628</v>
      </c>
      <c r="B357" s="2" t="s">
        <v>1036</v>
      </c>
    </row>
    <row r="358" spans="1:2">
      <c r="A358" t="s">
        <v>1167</v>
      </c>
      <c r="B358" s="2" t="s">
        <v>1037</v>
      </c>
    </row>
    <row r="359" spans="1:2">
      <c r="A359" t="s">
        <v>1168</v>
      </c>
      <c r="B359" s="2" t="s">
        <v>1038</v>
      </c>
    </row>
    <row r="360" spans="1:2">
      <c r="A360" t="s">
        <v>1169</v>
      </c>
      <c r="B360" s="2" t="s">
        <v>1039</v>
      </c>
    </row>
    <row r="361" spans="1:2">
      <c r="A361" t="s">
        <v>1170</v>
      </c>
      <c r="B361" s="2" t="s">
        <v>1040</v>
      </c>
    </row>
    <row r="362" spans="1:2">
      <c r="A362" t="s">
        <v>1171</v>
      </c>
      <c r="B362" s="2" t="s">
        <v>1041</v>
      </c>
    </row>
    <row r="363" spans="1:2">
      <c r="A363" t="s">
        <v>1172</v>
      </c>
      <c r="B363" s="2" t="s">
        <v>1042</v>
      </c>
    </row>
    <row r="364" spans="1:2">
      <c r="A364" t="s">
        <v>1173</v>
      </c>
      <c r="B364" s="2" t="s">
        <v>1043</v>
      </c>
    </row>
    <row r="365" spans="1:2">
      <c r="A365" t="s">
        <v>1174</v>
      </c>
      <c r="B365" s="2" t="s">
        <v>1044</v>
      </c>
    </row>
    <row r="366" spans="1:2">
      <c r="A366" t="s">
        <v>1175</v>
      </c>
      <c r="B366" s="2" t="s">
        <v>1045</v>
      </c>
    </row>
    <row r="367" spans="1:2">
      <c r="A367" s="4" t="s">
        <v>1176</v>
      </c>
      <c r="B367" s="2" t="s">
        <v>1046</v>
      </c>
    </row>
    <row r="368" spans="1:2">
      <c r="A368" s="5" t="s">
        <v>1177</v>
      </c>
      <c r="B368" s="2" t="s">
        <v>1047</v>
      </c>
    </row>
    <row r="369" spans="1:2">
      <c r="A369" s="5" t="s">
        <v>1178</v>
      </c>
      <c r="B369" s="2" t="s">
        <v>1048</v>
      </c>
    </row>
    <row r="370" spans="1:2">
      <c r="A370" s="5" t="s">
        <v>1179</v>
      </c>
      <c r="B370" s="2" t="s">
        <v>1049</v>
      </c>
    </row>
    <row r="371" spans="1:2">
      <c r="A371" s="5" t="s">
        <v>1180</v>
      </c>
      <c r="B371" s="2" t="s">
        <v>1181</v>
      </c>
    </row>
    <row r="372" spans="1:2">
      <c r="A372" t="s">
        <v>917</v>
      </c>
      <c r="B372" s="2" t="s">
        <v>1182</v>
      </c>
    </row>
    <row r="373" spans="1:2">
      <c r="A373" t="s">
        <v>918</v>
      </c>
      <c r="B373" s="2" t="s">
        <v>1183</v>
      </c>
    </row>
    <row r="374" spans="1:2">
      <c r="A374" t="s">
        <v>919</v>
      </c>
      <c r="B374" s="2" t="s">
        <v>1184</v>
      </c>
    </row>
    <row r="375" spans="1:2">
      <c r="A375" t="s">
        <v>920</v>
      </c>
      <c r="B375" s="2" t="s">
        <v>1185</v>
      </c>
    </row>
    <row r="376" spans="1:2">
      <c r="A376" t="s">
        <v>275</v>
      </c>
      <c r="B376" s="2" t="s">
        <v>1186</v>
      </c>
    </row>
    <row r="377" spans="1:2">
      <c r="A377" t="s">
        <v>274</v>
      </c>
      <c r="B377" s="2" t="s">
        <v>1187</v>
      </c>
    </row>
    <row r="378" spans="1:2">
      <c r="A378" t="s">
        <v>273</v>
      </c>
      <c r="B378" s="2" t="s">
        <v>1188</v>
      </c>
    </row>
    <row r="379" spans="1:2">
      <c r="A379" t="s">
        <v>541</v>
      </c>
      <c r="B379" s="2" t="s">
        <v>1189</v>
      </c>
    </row>
    <row r="380" spans="1:2">
      <c r="A380" t="s">
        <v>549</v>
      </c>
      <c r="B380" s="2" t="s">
        <v>1190</v>
      </c>
    </row>
    <row r="381" spans="1:2">
      <c r="A381" s="4" t="s">
        <v>550</v>
      </c>
      <c r="B381" s="2" t="s">
        <v>1191</v>
      </c>
    </row>
    <row r="382" spans="1:2">
      <c r="A382" s="5" t="s">
        <v>551</v>
      </c>
      <c r="B382" s="2" t="s">
        <v>1192</v>
      </c>
    </row>
    <row r="383" spans="1:2">
      <c r="A383" s="5" t="s">
        <v>552</v>
      </c>
      <c r="B383" s="2" t="s">
        <v>1193</v>
      </c>
    </row>
    <row r="384" spans="1:2">
      <c r="A384" s="5" t="s">
        <v>553</v>
      </c>
      <c r="B384" s="2" t="s">
        <v>1194</v>
      </c>
    </row>
    <row r="385" spans="1:2">
      <c r="A385" t="s">
        <v>100</v>
      </c>
      <c r="B385" s="1">
        <v>1</v>
      </c>
    </row>
    <row r="386" spans="1:2">
      <c r="A386" t="s">
        <v>101</v>
      </c>
      <c r="B386" s="1">
        <v>2</v>
      </c>
    </row>
    <row r="387" spans="1:2">
      <c r="A387" t="s">
        <v>102</v>
      </c>
      <c r="B387" s="1">
        <v>3</v>
      </c>
    </row>
    <row r="388" spans="1:2">
      <c r="A388" t="s">
        <v>103</v>
      </c>
      <c r="B388" s="1">
        <v>4</v>
      </c>
    </row>
    <row r="389" spans="1:2">
      <c r="A389" t="s">
        <v>719</v>
      </c>
      <c r="B389" s="1">
        <v>5</v>
      </c>
    </row>
    <row r="390" spans="1:2">
      <c r="A390" t="s">
        <v>907</v>
      </c>
      <c r="B390" s="1">
        <v>6</v>
      </c>
    </row>
    <row r="391" spans="1:2">
      <c r="A391" t="s">
        <v>908</v>
      </c>
      <c r="B391" s="1">
        <v>7</v>
      </c>
    </row>
    <row r="392" spans="1:2">
      <c r="A392" t="s">
        <v>104</v>
      </c>
      <c r="B392" s="1">
        <v>8</v>
      </c>
    </row>
    <row r="393" spans="1:2">
      <c r="A393" t="s">
        <v>105</v>
      </c>
      <c r="B393" s="1">
        <v>9</v>
      </c>
    </row>
    <row r="394" spans="1:2">
      <c r="A394" t="s">
        <v>106</v>
      </c>
      <c r="B394" s="1">
        <v>11</v>
      </c>
    </row>
    <row r="395" spans="1:2">
      <c r="A395" t="s">
        <v>720</v>
      </c>
      <c r="B395" s="1">
        <v>12</v>
      </c>
    </row>
    <row r="396" spans="1:2">
      <c r="A396" t="s">
        <v>721</v>
      </c>
      <c r="B396" s="1">
        <v>13</v>
      </c>
    </row>
    <row r="397" spans="1:2">
      <c r="A397" t="s">
        <v>722</v>
      </c>
      <c r="B397" s="1">
        <v>14</v>
      </c>
    </row>
    <row r="398" spans="1:2">
      <c r="A398" t="s">
        <v>723</v>
      </c>
      <c r="B398" s="1">
        <v>15</v>
      </c>
    </row>
    <row r="399" spans="1:2">
      <c r="A399" t="s">
        <v>107</v>
      </c>
      <c r="B399" s="1">
        <v>16</v>
      </c>
    </row>
    <row r="400" spans="1:2">
      <c r="A400" t="s">
        <v>108</v>
      </c>
      <c r="B400" s="1">
        <v>17</v>
      </c>
    </row>
    <row r="401" spans="1:2">
      <c r="A401" t="s">
        <v>109</v>
      </c>
      <c r="B401" s="1">
        <v>18</v>
      </c>
    </row>
    <row r="402" spans="1:2">
      <c r="A402" t="s">
        <v>110</v>
      </c>
      <c r="B402" s="1">
        <v>19</v>
      </c>
    </row>
    <row r="403" spans="1:2">
      <c r="A403" t="s">
        <v>111</v>
      </c>
      <c r="B403" s="1">
        <v>20</v>
      </c>
    </row>
    <row r="404" spans="1:2">
      <c r="A404" t="s">
        <v>112</v>
      </c>
      <c r="B404" s="1">
        <v>21</v>
      </c>
    </row>
    <row r="405" spans="1:2">
      <c r="A405" t="s">
        <v>113</v>
      </c>
      <c r="B405" s="1">
        <v>22</v>
      </c>
    </row>
    <row r="406" spans="1:2">
      <c r="A406" t="s">
        <v>114</v>
      </c>
      <c r="B406" s="1">
        <v>23</v>
      </c>
    </row>
    <row r="407" spans="1:2">
      <c r="A407" t="s">
        <v>115</v>
      </c>
      <c r="B407" s="1">
        <v>24</v>
      </c>
    </row>
    <row r="408" spans="1:2">
      <c r="A408" t="s">
        <v>116</v>
      </c>
      <c r="B408" s="1">
        <v>25</v>
      </c>
    </row>
    <row r="409" spans="1:2">
      <c r="A409" t="s">
        <v>117</v>
      </c>
      <c r="B409" s="1">
        <v>26</v>
      </c>
    </row>
    <row r="410" spans="1:2">
      <c r="A410" t="s">
        <v>118</v>
      </c>
      <c r="B410" s="1">
        <v>27</v>
      </c>
    </row>
    <row r="411" spans="1:2">
      <c r="A411" t="s">
        <v>1050</v>
      </c>
      <c r="B411" s="1">
        <v>28</v>
      </c>
    </row>
    <row r="412" spans="1:2">
      <c r="A412" t="s">
        <v>1051</v>
      </c>
      <c r="B412" s="1">
        <v>29</v>
      </c>
    </row>
    <row r="413" spans="1:2">
      <c r="A413" t="s">
        <v>1052</v>
      </c>
      <c r="B413" s="1">
        <v>30</v>
      </c>
    </row>
    <row r="414" spans="1:2">
      <c r="A414" t="s">
        <v>1053</v>
      </c>
      <c r="B414" s="1">
        <v>31</v>
      </c>
    </row>
    <row r="415" spans="1:2">
      <c r="A415" t="s">
        <v>1054</v>
      </c>
      <c r="B415" s="1">
        <v>32</v>
      </c>
    </row>
    <row r="416" spans="1:2">
      <c r="A416" t="s">
        <v>1055</v>
      </c>
      <c r="B416" s="1">
        <v>33</v>
      </c>
    </row>
    <row r="417" spans="1:2">
      <c r="A417" t="s">
        <v>119</v>
      </c>
      <c r="B417" s="1">
        <v>34</v>
      </c>
    </row>
    <row r="418" spans="1:2">
      <c r="A418" t="s">
        <v>120</v>
      </c>
      <c r="B418" s="1">
        <v>35</v>
      </c>
    </row>
    <row r="419" spans="1:2">
      <c r="A419" t="s">
        <v>121</v>
      </c>
      <c r="B419" s="1">
        <v>36</v>
      </c>
    </row>
    <row r="420" spans="1:2">
      <c r="A420" t="s">
        <v>122</v>
      </c>
      <c r="B420" s="1">
        <v>38</v>
      </c>
    </row>
    <row r="421" spans="1:2">
      <c r="A421" t="s">
        <v>724</v>
      </c>
      <c r="B421" s="1">
        <v>39</v>
      </c>
    </row>
    <row r="422" spans="1:2">
      <c r="A422" t="s">
        <v>725</v>
      </c>
      <c r="B422" s="1">
        <v>40</v>
      </c>
    </row>
    <row r="423" spans="1:2">
      <c r="A423" t="s">
        <v>726</v>
      </c>
      <c r="B423" s="1">
        <v>41</v>
      </c>
    </row>
    <row r="424" spans="1:2">
      <c r="A424" t="s">
        <v>727</v>
      </c>
      <c r="B424" s="1">
        <v>42</v>
      </c>
    </row>
    <row r="425" spans="1:2">
      <c r="A425" t="s">
        <v>123</v>
      </c>
      <c r="B425" s="1">
        <v>43</v>
      </c>
    </row>
    <row r="426" spans="1:2">
      <c r="A426" t="s">
        <v>124</v>
      </c>
      <c r="B426" s="1">
        <v>44</v>
      </c>
    </row>
    <row r="427" spans="1:2">
      <c r="A427" t="s">
        <v>125</v>
      </c>
      <c r="B427" s="1">
        <v>45</v>
      </c>
    </row>
    <row r="428" spans="1:2">
      <c r="A428" t="s">
        <v>126</v>
      </c>
      <c r="B428" s="1">
        <v>46</v>
      </c>
    </row>
    <row r="429" spans="1:2">
      <c r="A429" t="s">
        <v>127</v>
      </c>
      <c r="B429" s="1">
        <v>47</v>
      </c>
    </row>
    <row r="430" spans="1:2">
      <c r="A430" t="s">
        <v>128</v>
      </c>
      <c r="B430" s="1">
        <v>48</v>
      </c>
    </row>
    <row r="431" spans="1:2">
      <c r="A431" t="s">
        <v>129</v>
      </c>
      <c r="B431" s="1">
        <v>49</v>
      </c>
    </row>
    <row r="432" spans="1:2">
      <c r="A432" t="s">
        <v>130</v>
      </c>
      <c r="B432" s="1">
        <v>50</v>
      </c>
    </row>
    <row r="433" spans="1:2">
      <c r="A433" t="s">
        <v>131</v>
      </c>
      <c r="B433" s="1">
        <v>51</v>
      </c>
    </row>
    <row r="434" spans="1:2">
      <c r="A434" t="s">
        <v>132</v>
      </c>
      <c r="B434" s="1">
        <v>52</v>
      </c>
    </row>
    <row r="435" spans="1:2">
      <c r="A435" t="s">
        <v>133</v>
      </c>
      <c r="B435" s="1">
        <v>53</v>
      </c>
    </row>
    <row r="436" spans="1:2">
      <c r="A436" t="s">
        <v>134</v>
      </c>
      <c r="B436" s="1">
        <v>54</v>
      </c>
    </row>
    <row r="437" spans="1:2">
      <c r="A437" t="s">
        <v>1056</v>
      </c>
      <c r="B437" s="1">
        <v>55</v>
      </c>
    </row>
    <row r="438" spans="1:2">
      <c r="A438" t="s">
        <v>1057</v>
      </c>
      <c r="B438" s="1">
        <v>56</v>
      </c>
    </row>
    <row r="439" spans="1:2">
      <c r="A439" t="s">
        <v>1058</v>
      </c>
      <c r="B439" s="1">
        <v>57</v>
      </c>
    </row>
    <row r="440" spans="1:2">
      <c r="A440" t="s">
        <v>1059</v>
      </c>
      <c r="B440" s="1">
        <v>58</v>
      </c>
    </row>
    <row r="441" spans="1:2">
      <c r="A441" t="s">
        <v>1060</v>
      </c>
      <c r="B441" s="1">
        <v>59</v>
      </c>
    </row>
    <row r="442" spans="1:2">
      <c r="A442" t="s">
        <v>1061</v>
      </c>
      <c r="B442" s="1">
        <v>60</v>
      </c>
    </row>
    <row r="443" spans="1:2">
      <c r="A443" t="s">
        <v>135</v>
      </c>
      <c r="B443" s="1">
        <v>61</v>
      </c>
    </row>
    <row r="444" spans="1:2">
      <c r="A444" t="s">
        <v>136</v>
      </c>
      <c r="B444" s="1">
        <v>62</v>
      </c>
    </row>
    <row r="445" spans="1:2">
      <c r="A445" t="s">
        <v>137</v>
      </c>
      <c r="B445" s="1">
        <v>63</v>
      </c>
    </row>
    <row r="446" spans="1:2">
      <c r="A446" t="s">
        <v>138</v>
      </c>
      <c r="B446" s="1">
        <v>65</v>
      </c>
    </row>
    <row r="447" spans="1:2">
      <c r="A447" t="s">
        <v>139</v>
      </c>
      <c r="B447" s="1">
        <v>66</v>
      </c>
    </row>
    <row r="448" spans="1:2">
      <c r="A448" t="s">
        <v>140</v>
      </c>
      <c r="B448" s="1">
        <v>67</v>
      </c>
    </row>
    <row r="449" spans="1:2">
      <c r="A449" t="s">
        <v>141</v>
      </c>
      <c r="B449" s="1">
        <v>68</v>
      </c>
    </row>
    <row r="450" spans="1:2">
      <c r="A450" t="s">
        <v>1062</v>
      </c>
      <c r="B450" s="1">
        <v>69</v>
      </c>
    </row>
    <row r="451" spans="1:2">
      <c r="A451" t="s">
        <v>1063</v>
      </c>
      <c r="B451" s="1">
        <v>70</v>
      </c>
    </row>
    <row r="452" spans="1:2">
      <c r="A452" t="s">
        <v>1064</v>
      </c>
      <c r="B452" s="1">
        <v>71</v>
      </c>
    </row>
    <row r="453" spans="1:2">
      <c r="A453" t="s">
        <v>1065</v>
      </c>
      <c r="B453" s="1">
        <v>72</v>
      </c>
    </row>
    <row r="454" spans="1:2">
      <c r="A454" t="s">
        <v>1066</v>
      </c>
      <c r="B454" s="1">
        <v>73</v>
      </c>
    </row>
    <row r="455" spans="1:2">
      <c r="A455" t="s">
        <v>1067</v>
      </c>
      <c r="B455" s="1">
        <v>74</v>
      </c>
    </row>
    <row r="456" spans="1:2">
      <c r="A456" t="s">
        <v>1068</v>
      </c>
      <c r="B456" s="1">
        <v>75</v>
      </c>
    </row>
    <row r="457" spans="1:2">
      <c r="A457" t="s">
        <v>1069</v>
      </c>
      <c r="B457" s="1">
        <v>76</v>
      </c>
    </row>
    <row r="458" spans="1:2">
      <c r="A458" t="s">
        <v>142</v>
      </c>
      <c r="B458" s="1">
        <v>77</v>
      </c>
    </row>
    <row r="459" spans="1:2">
      <c r="A459" t="s">
        <v>143</v>
      </c>
      <c r="B459" s="1">
        <v>78</v>
      </c>
    </row>
    <row r="460" spans="1:2">
      <c r="A460" t="s">
        <v>278</v>
      </c>
      <c r="B460" s="1">
        <v>79</v>
      </c>
    </row>
    <row r="461" spans="1:2">
      <c r="A461" t="s">
        <v>279</v>
      </c>
      <c r="B461" s="1">
        <v>80</v>
      </c>
    </row>
    <row r="462" spans="1:2">
      <c r="A462" t="s">
        <v>144</v>
      </c>
      <c r="B462" s="2" t="s">
        <v>1070</v>
      </c>
    </row>
    <row r="463" spans="1:2">
      <c r="A463" t="s">
        <v>145</v>
      </c>
      <c r="B463" s="2" t="s">
        <v>1071</v>
      </c>
    </row>
    <row r="464" spans="1:2">
      <c r="A464" t="s">
        <v>602</v>
      </c>
      <c r="B464" s="2" t="s">
        <v>1072</v>
      </c>
    </row>
    <row r="465" spans="1:2">
      <c r="A465" t="s">
        <v>603</v>
      </c>
      <c r="B465" s="2" t="s">
        <v>1073</v>
      </c>
    </row>
    <row r="466" spans="1:2">
      <c r="A466" t="s">
        <v>604</v>
      </c>
      <c r="B466" s="2" t="s">
        <v>1074</v>
      </c>
    </row>
    <row r="467" spans="1:2">
      <c r="A467" t="s">
        <v>605</v>
      </c>
      <c r="B467" s="2" t="s">
        <v>1075</v>
      </c>
    </row>
    <row r="468" spans="1:2">
      <c r="A468" t="s">
        <v>606</v>
      </c>
      <c r="B468" s="2" t="s">
        <v>1076</v>
      </c>
    </row>
    <row r="469" spans="1:2">
      <c r="A469" s="4" t="s">
        <v>607</v>
      </c>
      <c r="B469" s="2" t="s">
        <v>1077</v>
      </c>
    </row>
    <row r="470" spans="1:2">
      <c r="A470" t="s">
        <v>630</v>
      </c>
      <c r="B470" s="2" t="s">
        <v>1078</v>
      </c>
    </row>
    <row r="471" spans="1:2">
      <c r="A471" t="s">
        <v>629</v>
      </c>
      <c r="B471" s="2" t="s">
        <v>1079</v>
      </c>
    </row>
    <row r="472" spans="1:2">
      <c r="A472" t="s">
        <v>631</v>
      </c>
      <c r="B472" s="2" t="s">
        <v>1080</v>
      </c>
    </row>
    <row r="473" spans="1:2">
      <c r="A473" t="s">
        <v>632</v>
      </c>
      <c r="B473" s="2" t="s">
        <v>1081</v>
      </c>
    </row>
    <row r="474" spans="1:2">
      <c r="A474" t="s">
        <v>633</v>
      </c>
      <c r="B474" s="2" t="s">
        <v>1082</v>
      </c>
    </row>
    <row r="475" spans="1:2">
      <c r="A475" s="4" t="s">
        <v>634</v>
      </c>
      <c r="B475" s="2" t="s">
        <v>1083</v>
      </c>
    </row>
    <row r="476" spans="1:2">
      <c r="A476" s="5" t="s">
        <v>635</v>
      </c>
      <c r="B476" s="2" t="s">
        <v>1084</v>
      </c>
    </row>
    <row r="477" spans="1:2">
      <c r="A477" t="s">
        <v>1195</v>
      </c>
      <c r="B477" s="2" t="s">
        <v>1085</v>
      </c>
    </row>
    <row r="478" spans="1:2">
      <c r="A478" t="s">
        <v>1196</v>
      </c>
      <c r="B478" s="2" t="s">
        <v>1086</v>
      </c>
    </row>
    <row r="479" spans="1:2">
      <c r="A479" t="s">
        <v>1197</v>
      </c>
      <c r="B479" s="2" t="s">
        <v>1087</v>
      </c>
    </row>
    <row r="480" spans="1:2">
      <c r="A480" t="s">
        <v>1198</v>
      </c>
      <c r="B480" s="2" t="s">
        <v>1088</v>
      </c>
    </row>
    <row r="481" spans="1:2">
      <c r="A481" t="s">
        <v>1199</v>
      </c>
      <c r="B481" s="2" t="s">
        <v>1089</v>
      </c>
    </row>
    <row r="482" spans="1:2">
      <c r="A482" t="s">
        <v>1200</v>
      </c>
      <c r="B482" s="2" t="s">
        <v>1090</v>
      </c>
    </row>
    <row r="483" spans="1:2">
      <c r="A483" t="s">
        <v>1201</v>
      </c>
      <c r="B483" s="2" t="s">
        <v>1091</v>
      </c>
    </row>
    <row r="484" spans="1:2">
      <c r="A484" t="s">
        <v>1202</v>
      </c>
      <c r="B484" s="2" t="s">
        <v>1092</v>
      </c>
    </row>
    <row r="485" spans="1:2">
      <c r="A485" t="s">
        <v>1203</v>
      </c>
      <c r="B485" s="2" t="s">
        <v>1093</v>
      </c>
    </row>
    <row r="486" spans="1:2">
      <c r="A486" s="4" t="s">
        <v>1204</v>
      </c>
      <c r="B486" s="2" t="s">
        <v>1094</v>
      </c>
    </row>
    <row r="487" spans="1:2">
      <c r="A487" s="5" t="s">
        <v>1205</v>
      </c>
      <c r="B487" s="2" t="s">
        <v>1095</v>
      </c>
    </row>
    <row r="488" spans="1:2">
      <c r="A488" s="5" t="s">
        <v>1206</v>
      </c>
      <c r="B488" s="2" t="s">
        <v>1096</v>
      </c>
    </row>
    <row r="489" spans="1:2">
      <c r="A489" s="5" t="s">
        <v>1207</v>
      </c>
      <c r="B489" s="2" t="s">
        <v>1097</v>
      </c>
    </row>
    <row r="490" spans="1:2">
      <c r="A490" s="5" t="s">
        <v>1208</v>
      </c>
      <c r="B490" s="2" t="s">
        <v>1209</v>
      </c>
    </row>
    <row r="491" spans="1:2">
      <c r="A491" t="s">
        <v>921</v>
      </c>
      <c r="B491" s="2" t="s">
        <v>1210</v>
      </c>
    </row>
    <row r="492" spans="1:2">
      <c r="A492" t="s">
        <v>922</v>
      </c>
      <c r="B492" s="2" t="s">
        <v>1211</v>
      </c>
    </row>
    <row r="493" spans="1:2">
      <c r="A493" t="s">
        <v>923</v>
      </c>
      <c r="B493" s="2" t="s">
        <v>1212</v>
      </c>
    </row>
    <row r="494" spans="1:2">
      <c r="A494" t="s">
        <v>924</v>
      </c>
      <c r="B494" s="2" t="s">
        <v>1213</v>
      </c>
    </row>
    <row r="495" spans="1:2">
      <c r="A495" t="s">
        <v>272</v>
      </c>
      <c r="B495" s="2" t="s">
        <v>1214</v>
      </c>
    </row>
    <row r="496" spans="1:2">
      <c r="A496" t="s">
        <v>271</v>
      </c>
      <c r="B496" s="2" t="s">
        <v>1215</v>
      </c>
    </row>
    <row r="497" spans="1:2">
      <c r="A497" t="s">
        <v>270</v>
      </c>
      <c r="B497" s="2" t="s">
        <v>1216</v>
      </c>
    </row>
    <row r="498" spans="1:2">
      <c r="A498" t="s">
        <v>542</v>
      </c>
      <c r="B498" s="2" t="s">
        <v>1217</v>
      </c>
    </row>
    <row r="499" spans="1:2">
      <c r="A499" t="s">
        <v>554</v>
      </c>
      <c r="B499" s="2" t="s">
        <v>1218</v>
      </c>
    </row>
    <row r="500" spans="1:2">
      <c r="A500" s="4" t="s">
        <v>728</v>
      </c>
      <c r="B500" s="2" t="s">
        <v>1219</v>
      </c>
    </row>
    <row r="501" spans="1:2">
      <c r="A501" s="5" t="s">
        <v>555</v>
      </c>
      <c r="B501" s="2" t="s">
        <v>1220</v>
      </c>
    </row>
    <row r="502" spans="1:2">
      <c r="A502" s="5" t="s">
        <v>556</v>
      </c>
      <c r="B502" s="2" t="s">
        <v>1221</v>
      </c>
    </row>
    <row r="503" spans="1:2">
      <c r="A503" s="5" t="s">
        <v>557</v>
      </c>
      <c r="B503" s="2" t="s">
        <v>1222</v>
      </c>
    </row>
    <row r="504" spans="1:2">
      <c r="A504" t="s">
        <v>285</v>
      </c>
      <c r="B504" s="1">
        <v>1</v>
      </c>
    </row>
    <row r="505" spans="1:2">
      <c r="A505" t="s">
        <v>286</v>
      </c>
      <c r="B505" s="1">
        <v>2</v>
      </c>
    </row>
    <row r="506" spans="1:2">
      <c r="A506" t="s">
        <v>287</v>
      </c>
      <c r="B506" s="1">
        <v>3</v>
      </c>
    </row>
    <row r="507" spans="1:2">
      <c r="A507" t="s">
        <v>288</v>
      </c>
      <c r="B507" s="1">
        <v>4</v>
      </c>
    </row>
    <row r="508" spans="1:2">
      <c r="A508" t="s">
        <v>289</v>
      </c>
      <c r="B508" s="1">
        <v>5</v>
      </c>
    </row>
    <row r="509" spans="1:2">
      <c r="A509" t="s">
        <v>734</v>
      </c>
      <c r="B509" s="1">
        <v>6</v>
      </c>
    </row>
    <row r="510" spans="1:2">
      <c r="A510" t="s">
        <v>290</v>
      </c>
      <c r="B510" s="1">
        <v>7</v>
      </c>
    </row>
    <row r="511" spans="1:2">
      <c r="A511" t="s">
        <v>291</v>
      </c>
      <c r="B511" s="1">
        <v>8</v>
      </c>
    </row>
    <row r="512" spans="1:2">
      <c r="A512" t="s">
        <v>292</v>
      </c>
      <c r="B512" s="1">
        <v>10</v>
      </c>
    </row>
    <row r="513" spans="1:2">
      <c r="A513" t="s">
        <v>735</v>
      </c>
      <c r="B513" s="1">
        <v>11</v>
      </c>
    </row>
    <row r="514" spans="1:2">
      <c r="A514" t="s">
        <v>736</v>
      </c>
      <c r="B514" s="1">
        <v>12</v>
      </c>
    </row>
    <row r="515" spans="1:2">
      <c r="A515" t="s">
        <v>737</v>
      </c>
      <c r="B515" s="1">
        <v>13</v>
      </c>
    </row>
    <row r="516" spans="1:2">
      <c r="A516" t="s">
        <v>738</v>
      </c>
      <c r="B516" s="1">
        <v>14</v>
      </c>
    </row>
    <row r="517" spans="1:2">
      <c r="A517" t="s">
        <v>293</v>
      </c>
      <c r="B517" s="1">
        <v>15</v>
      </c>
    </row>
    <row r="518" spans="1:2">
      <c r="A518" t="s">
        <v>294</v>
      </c>
      <c r="B518" s="1">
        <v>16</v>
      </c>
    </row>
    <row r="519" spans="1:2">
      <c r="A519" t="s">
        <v>295</v>
      </c>
      <c r="B519" s="1">
        <v>17</v>
      </c>
    </row>
    <row r="520" spans="1:2">
      <c r="A520" t="s">
        <v>296</v>
      </c>
      <c r="B520" s="1">
        <v>18</v>
      </c>
    </row>
    <row r="521" spans="1:2">
      <c r="A521" t="s">
        <v>297</v>
      </c>
      <c r="B521" s="1">
        <v>19</v>
      </c>
    </row>
    <row r="522" spans="1:2">
      <c r="A522" t="s">
        <v>298</v>
      </c>
      <c r="B522" s="1">
        <v>20</v>
      </c>
    </row>
    <row r="523" spans="1:2">
      <c r="A523" t="s">
        <v>299</v>
      </c>
      <c r="B523" s="1">
        <v>21</v>
      </c>
    </row>
    <row r="524" spans="1:2">
      <c r="A524" t="s">
        <v>300</v>
      </c>
      <c r="B524" s="1">
        <v>22</v>
      </c>
    </row>
    <row r="525" spans="1:2">
      <c r="A525" t="s">
        <v>301</v>
      </c>
      <c r="B525" s="1">
        <v>23</v>
      </c>
    </row>
    <row r="526" spans="1:2">
      <c r="A526" t="s">
        <v>302</v>
      </c>
      <c r="B526" s="1">
        <v>24</v>
      </c>
    </row>
    <row r="527" spans="1:2">
      <c r="A527" t="s">
        <v>739</v>
      </c>
      <c r="B527" s="1">
        <v>25</v>
      </c>
    </row>
    <row r="528" spans="1:2">
      <c r="A528" t="s">
        <v>740</v>
      </c>
      <c r="B528" s="1">
        <v>26</v>
      </c>
    </row>
    <row r="529" spans="1:2">
      <c r="A529" t="s">
        <v>303</v>
      </c>
      <c r="B529" s="1">
        <v>27</v>
      </c>
    </row>
    <row r="530" spans="1:2">
      <c r="A530" t="s">
        <v>304</v>
      </c>
      <c r="B530" s="1">
        <v>28</v>
      </c>
    </row>
    <row r="531" spans="1:2">
      <c r="A531" t="s">
        <v>305</v>
      </c>
      <c r="B531" s="1">
        <v>29</v>
      </c>
    </row>
    <row r="532" spans="1:2">
      <c r="A532" t="s">
        <v>306</v>
      </c>
      <c r="B532" s="1">
        <v>30</v>
      </c>
    </row>
    <row r="533" spans="1:2">
      <c r="A533" t="s">
        <v>307</v>
      </c>
      <c r="B533" s="1">
        <v>31</v>
      </c>
    </row>
    <row r="534" spans="1:2">
      <c r="A534" t="s">
        <v>308</v>
      </c>
      <c r="B534" s="1">
        <v>32</v>
      </c>
    </row>
    <row r="535" spans="1:2">
      <c r="A535" t="s">
        <v>309</v>
      </c>
      <c r="B535" s="1">
        <v>33</v>
      </c>
    </row>
    <row r="536" spans="1:2">
      <c r="A536" t="s">
        <v>310</v>
      </c>
      <c r="B536" s="1">
        <v>34</v>
      </c>
    </row>
    <row r="537" spans="1:2">
      <c r="A537" t="s">
        <v>575</v>
      </c>
      <c r="B537" s="1">
        <v>35</v>
      </c>
    </row>
    <row r="538" spans="1:2">
      <c r="A538" t="s">
        <v>311</v>
      </c>
      <c r="B538" s="1">
        <v>37</v>
      </c>
    </row>
    <row r="539" spans="1:2">
      <c r="A539" t="s">
        <v>741</v>
      </c>
      <c r="B539" s="1">
        <v>38</v>
      </c>
    </row>
    <row r="540" spans="1:2">
      <c r="A540" t="s">
        <v>742</v>
      </c>
      <c r="B540" s="1">
        <v>39</v>
      </c>
    </row>
    <row r="541" spans="1:2">
      <c r="A541" t="s">
        <v>743</v>
      </c>
      <c r="B541" s="1">
        <v>40</v>
      </c>
    </row>
    <row r="542" spans="1:2">
      <c r="A542" t="s">
        <v>744</v>
      </c>
      <c r="B542" s="1">
        <v>41</v>
      </c>
    </row>
    <row r="543" spans="1:2">
      <c r="A543" t="s">
        <v>312</v>
      </c>
      <c r="B543" s="1">
        <v>42</v>
      </c>
    </row>
    <row r="544" spans="1:2">
      <c r="A544" t="s">
        <v>313</v>
      </c>
      <c r="B544" s="1">
        <v>43</v>
      </c>
    </row>
    <row r="545" spans="1:2">
      <c r="A545" t="s">
        <v>314</v>
      </c>
      <c r="B545" s="1">
        <v>44</v>
      </c>
    </row>
    <row r="546" spans="1:2">
      <c r="A546" t="s">
        <v>315</v>
      </c>
      <c r="B546" s="1">
        <v>45</v>
      </c>
    </row>
    <row r="547" spans="1:2">
      <c r="A547" t="s">
        <v>316</v>
      </c>
      <c r="B547" s="1">
        <v>46</v>
      </c>
    </row>
    <row r="548" spans="1:2">
      <c r="A548" t="s">
        <v>317</v>
      </c>
      <c r="B548" s="1">
        <v>47</v>
      </c>
    </row>
    <row r="549" spans="1:2">
      <c r="A549" t="s">
        <v>318</v>
      </c>
      <c r="B549" s="1">
        <v>48</v>
      </c>
    </row>
    <row r="550" spans="1:2">
      <c r="A550" t="s">
        <v>319</v>
      </c>
      <c r="B550" s="1">
        <v>49</v>
      </c>
    </row>
    <row r="551" spans="1:2">
      <c r="A551" t="s">
        <v>320</v>
      </c>
      <c r="B551" s="1">
        <v>50</v>
      </c>
    </row>
    <row r="552" spans="1:2">
      <c r="A552" t="s">
        <v>321</v>
      </c>
      <c r="B552" s="1">
        <v>51</v>
      </c>
    </row>
    <row r="553" spans="1:2">
      <c r="A553" t="s">
        <v>745</v>
      </c>
      <c r="B553" s="1">
        <v>52</v>
      </c>
    </row>
    <row r="554" spans="1:2">
      <c r="A554" t="s">
        <v>746</v>
      </c>
      <c r="B554" s="1">
        <v>53</v>
      </c>
    </row>
    <row r="555" spans="1:2">
      <c r="A555" t="s">
        <v>322</v>
      </c>
      <c r="B555" s="1">
        <v>54</v>
      </c>
    </row>
    <row r="556" spans="1:2">
      <c r="A556" t="s">
        <v>323</v>
      </c>
      <c r="B556" s="1">
        <v>55</v>
      </c>
    </row>
    <row r="557" spans="1:2">
      <c r="A557" t="s">
        <v>324</v>
      </c>
      <c r="B557" s="1">
        <v>56</v>
      </c>
    </row>
    <row r="558" spans="1:2">
      <c r="A558" t="s">
        <v>325</v>
      </c>
      <c r="B558" s="1">
        <v>57</v>
      </c>
    </row>
    <row r="559" spans="1:2">
      <c r="A559" t="s">
        <v>326</v>
      </c>
      <c r="B559" s="1">
        <v>58</v>
      </c>
    </row>
    <row r="560" spans="1:2">
      <c r="A560" t="s">
        <v>327</v>
      </c>
      <c r="B560" s="1">
        <v>59</v>
      </c>
    </row>
    <row r="561" spans="1:2">
      <c r="A561" t="s">
        <v>328</v>
      </c>
      <c r="B561" s="1">
        <v>60</v>
      </c>
    </row>
    <row r="562" spans="1:2">
      <c r="A562" t="s">
        <v>329</v>
      </c>
      <c r="B562" s="1">
        <v>61</v>
      </c>
    </row>
    <row r="563" spans="1:2">
      <c r="A563" t="s">
        <v>576</v>
      </c>
      <c r="B563" s="1">
        <v>62</v>
      </c>
    </row>
    <row r="564" spans="1:2">
      <c r="A564" t="s">
        <v>330</v>
      </c>
      <c r="B564" s="1">
        <v>64</v>
      </c>
    </row>
    <row r="565" spans="1:2">
      <c r="A565" t="s">
        <v>331</v>
      </c>
      <c r="B565" s="1">
        <v>65</v>
      </c>
    </row>
    <row r="566" spans="1:2">
      <c r="A566" t="s">
        <v>332</v>
      </c>
      <c r="B566" s="1">
        <v>66</v>
      </c>
    </row>
    <row r="567" spans="1:2">
      <c r="A567" t="s">
        <v>333</v>
      </c>
      <c r="B567" s="1">
        <v>67</v>
      </c>
    </row>
    <row r="568" spans="1:2">
      <c r="A568" t="s">
        <v>334</v>
      </c>
      <c r="B568" s="1">
        <v>69</v>
      </c>
    </row>
    <row r="569" spans="1:2">
      <c r="A569" t="s">
        <v>747</v>
      </c>
      <c r="B569" s="1">
        <v>70</v>
      </c>
    </row>
    <row r="570" spans="1:2">
      <c r="A570" t="s">
        <v>335</v>
      </c>
      <c r="B570" s="1">
        <v>71</v>
      </c>
    </row>
    <row r="571" spans="1:2">
      <c r="A571" t="s">
        <v>336</v>
      </c>
      <c r="B571" s="1">
        <v>72</v>
      </c>
    </row>
    <row r="572" spans="1:2">
      <c r="A572" t="s">
        <v>337</v>
      </c>
      <c r="B572" s="1">
        <v>73</v>
      </c>
    </row>
    <row r="573" spans="1:2">
      <c r="A573" t="s">
        <v>338</v>
      </c>
      <c r="B573" s="1">
        <v>74</v>
      </c>
    </row>
    <row r="574" spans="1:2">
      <c r="A574" t="s">
        <v>339</v>
      </c>
      <c r="B574" s="1">
        <v>76</v>
      </c>
    </row>
    <row r="575" spans="1:2">
      <c r="A575" t="s">
        <v>748</v>
      </c>
      <c r="B575" s="1">
        <v>77</v>
      </c>
    </row>
    <row r="576" spans="1:2">
      <c r="A576" t="s">
        <v>340</v>
      </c>
      <c r="B576" s="1">
        <v>78</v>
      </c>
    </row>
    <row r="577" spans="1:2">
      <c r="A577" t="s">
        <v>341</v>
      </c>
      <c r="B577" s="1">
        <v>79</v>
      </c>
    </row>
    <row r="578" spans="1:2">
      <c r="A578" t="s">
        <v>342</v>
      </c>
      <c r="B578" s="1">
        <v>80</v>
      </c>
    </row>
    <row r="579" spans="1:2">
      <c r="A579" t="s">
        <v>343</v>
      </c>
      <c r="B579" s="1">
        <v>81</v>
      </c>
    </row>
    <row r="580" spans="1:2">
      <c r="A580" t="s">
        <v>749</v>
      </c>
      <c r="B580" s="3" t="s">
        <v>750</v>
      </c>
    </row>
    <row r="581" spans="1:2">
      <c r="A581" t="s">
        <v>751</v>
      </c>
      <c r="B581" s="2" t="s">
        <v>752</v>
      </c>
    </row>
    <row r="582" spans="1:2">
      <c r="A582" t="s">
        <v>753</v>
      </c>
      <c r="B582" s="2" t="s">
        <v>754</v>
      </c>
    </row>
    <row r="583" spans="1:2">
      <c r="A583" t="s">
        <v>755</v>
      </c>
      <c r="B583" s="2" t="s">
        <v>756</v>
      </c>
    </row>
    <row r="584" spans="1:2">
      <c r="A584" t="s">
        <v>757</v>
      </c>
      <c r="B584" s="2" t="s">
        <v>758</v>
      </c>
    </row>
    <row r="585" spans="1:2">
      <c r="A585" t="s">
        <v>759</v>
      </c>
      <c r="B585" s="2" t="s">
        <v>760</v>
      </c>
    </row>
    <row r="586" spans="1:2">
      <c r="A586" t="s">
        <v>761</v>
      </c>
      <c r="B586" s="2" t="s">
        <v>762</v>
      </c>
    </row>
    <row r="587" spans="1:2" s="5" customFormat="1">
      <c r="A587" s="4" t="s">
        <v>763</v>
      </c>
      <c r="B587" s="6" t="s">
        <v>764</v>
      </c>
    </row>
    <row r="588" spans="1:2" s="5" customFormat="1">
      <c r="A588" t="s">
        <v>636</v>
      </c>
      <c r="B588" s="6" t="s">
        <v>765</v>
      </c>
    </row>
    <row r="589" spans="1:2" s="5" customFormat="1">
      <c r="A589" t="s">
        <v>637</v>
      </c>
      <c r="B589" s="6" t="s">
        <v>766</v>
      </c>
    </row>
    <row r="590" spans="1:2" s="5" customFormat="1">
      <c r="A590" t="s">
        <v>638</v>
      </c>
      <c r="B590" s="6" t="s">
        <v>767</v>
      </c>
    </row>
    <row r="591" spans="1:2" s="5" customFormat="1">
      <c r="A591" t="s">
        <v>639</v>
      </c>
      <c r="B591" s="6" t="s">
        <v>768</v>
      </c>
    </row>
    <row r="592" spans="1:2" s="5" customFormat="1">
      <c r="A592" t="s">
        <v>640</v>
      </c>
      <c r="B592" s="6" t="s">
        <v>769</v>
      </c>
    </row>
    <row r="593" spans="1:2" s="5" customFormat="1">
      <c r="A593" s="4" t="s">
        <v>641</v>
      </c>
      <c r="B593" s="6" t="s">
        <v>770</v>
      </c>
    </row>
    <row r="594" spans="1:2" s="5" customFormat="1">
      <c r="A594" s="5" t="s">
        <v>642</v>
      </c>
      <c r="B594" s="6" t="s">
        <v>771</v>
      </c>
    </row>
    <row r="595" spans="1:2" s="5" customFormat="1">
      <c r="A595" t="s">
        <v>643</v>
      </c>
      <c r="B595" s="6" t="s">
        <v>772</v>
      </c>
    </row>
    <row r="596" spans="1:2" s="5" customFormat="1">
      <c r="A596" t="s">
        <v>644</v>
      </c>
      <c r="B596" s="6" t="s">
        <v>773</v>
      </c>
    </row>
    <row r="597" spans="1:2" s="5" customFormat="1">
      <c r="A597" t="s">
        <v>645</v>
      </c>
      <c r="B597" s="6" t="s">
        <v>774</v>
      </c>
    </row>
    <row r="598" spans="1:2" s="5" customFormat="1">
      <c r="A598" t="s">
        <v>646</v>
      </c>
      <c r="B598" s="6" t="s">
        <v>775</v>
      </c>
    </row>
    <row r="599" spans="1:2" s="5" customFormat="1">
      <c r="A599" t="s">
        <v>647</v>
      </c>
      <c r="B599" s="6" t="s">
        <v>776</v>
      </c>
    </row>
    <row r="600" spans="1:2" s="5" customFormat="1">
      <c r="A600" s="4" t="s">
        <v>648</v>
      </c>
      <c r="B600" s="6" t="s">
        <v>777</v>
      </c>
    </row>
    <row r="601" spans="1:2" s="5" customFormat="1">
      <c r="A601" s="5" t="s">
        <v>649</v>
      </c>
      <c r="B601" s="6" t="s">
        <v>778</v>
      </c>
    </row>
    <row r="602" spans="1:2" s="5" customFormat="1">
      <c r="A602" s="5" t="s">
        <v>650</v>
      </c>
      <c r="B602" s="6" t="s">
        <v>779</v>
      </c>
    </row>
    <row r="603" spans="1:2" s="5" customFormat="1">
      <c r="A603" s="5" t="s">
        <v>651</v>
      </c>
      <c r="B603" s="6" t="s">
        <v>780</v>
      </c>
    </row>
    <row r="604" spans="1:2">
      <c r="A604" t="s">
        <v>344</v>
      </c>
      <c r="B604" s="1">
        <v>1</v>
      </c>
    </row>
    <row r="605" spans="1:2">
      <c r="A605" t="s">
        <v>345</v>
      </c>
      <c r="B605" s="1">
        <v>2</v>
      </c>
    </row>
    <row r="606" spans="1:2">
      <c r="A606" t="s">
        <v>346</v>
      </c>
      <c r="B606" s="1">
        <v>3</v>
      </c>
    </row>
    <row r="607" spans="1:2">
      <c r="A607" t="s">
        <v>347</v>
      </c>
      <c r="B607" s="1">
        <v>4</v>
      </c>
    </row>
    <row r="608" spans="1:2">
      <c r="A608" t="s">
        <v>348</v>
      </c>
      <c r="B608" s="1">
        <v>5</v>
      </c>
    </row>
    <row r="609" spans="1:2">
      <c r="A609" t="s">
        <v>781</v>
      </c>
      <c r="B609" s="1">
        <v>6</v>
      </c>
    </row>
    <row r="610" spans="1:2">
      <c r="A610" t="s">
        <v>349</v>
      </c>
      <c r="B610" s="1">
        <v>7</v>
      </c>
    </row>
    <row r="611" spans="1:2">
      <c r="A611" t="s">
        <v>350</v>
      </c>
      <c r="B611" s="1">
        <v>8</v>
      </c>
    </row>
    <row r="612" spans="1:2">
      <c r="A612" t="s">
        <v>351</v>
      </c>
      <c r="B612" s="1">
        <v>10</v>
      </c>
    </row>
    <row r="613" spans="1:2">
      <c r="A613" t="s">
        <v>782</v>
      </c>
      <c r="B613" s="1">
        <v>11</v>
      </c>
    </row>
    <row r="614" spans="1:2">
      <c r="A614" t="s">
        <v>783</v>
      </c>
      <c r="B614" s="1">
        <v>12</v>
      </c>
    </row>
    <row r="615" spans="1:2">
      <c r="A615" t="s">
        <v>784</v>
      </c>
      <c r="B615" s="1">
        <v>13</v>
      </c>
    </row>
    <row r="616" spans="1:2">
      <c r="A616" t="s">
        <v>785</v>
      </c>
      <c r="B616" s="1">
        <v>14</v>
      </c>
    </row>
    <row r="617" spans="1:2">
      <c r="A617" t="s">
        <v>352</v>
      </c>
      <c r="B617" s="1">
        <v>15</v>
      </c>
    </row>
    <row r="618" spans="1:2">
      <c r="A618" t="s">
        <v>353</v>
      </c>
      <c r="B618" s="1">
        <v>16</v>
      </c>
    </row>
    <row r="619" spans="1:2">
      <c r="A619" t="s">
        <v>354</v>
      </c>
      <c r="B619" s="1">
        <v>17</v>
      </c>
    </row>
    <row r="620" spans="1:2">
      <c r="A620" t="s">
        <v>355</v>
      </c>
      <c r="B620" s="1">
        <v>18</v>
      </c>
    </row>
    <row r="621" spans="1:2">
      <c r="A621" t="s">
        <v>356</v>
      </c>
      <c r="B621" s="1">
        <v>19</v>
      </c>
    </row>
    <row r="622" spans="1:2">
      <c r="A622" t="s">
        <v>357</v>
      </c>
      <c r="B622" s="1">
        <v>20</v>
      </c>
    </row>
    <row r="623" spans="1:2">
      <c r="A623" t="s">
        <v>358</v>
      </c>
      <c r="B623" s="1">
        <v>21</v>
      </c>
    </row>
    <row r="624" spans="1:2">
      <c r="A624" t="s">
        <v>359</v>
      </c>
      <c r="B624" s="1">
        <v>22</v>
      </c>
    </row>
    <row r="625" spans="1:2">
      <c r="A625" t="s">
        <v>360</v>
      </c>
      <c r="B625" s="1">
        <v>23</v>
      </c>
    </row>
    <row r="626" spans="1:2">
      <c r="A626" t="s">
        <v>361</v>
      </c>
      <c r="B626" s="1">
        <v>24</v>
      </c>
    </row>
    <row r="627" spans="1:2">
      <c r="A627" t="s">
        <v>362</v>
      </c>
      <c r="B627" s="1">
        <v>25</v>
      </c>
    </row>
    <row r="628" spans="1:2">
      <c r="A628" t="s">
        <v>363</v>
      </c>
      <c r="B628" s="1">
        <v>26</v>
      </c>
    </row>
    <row r="629" spans="1:2">
      <c r="A629" t="s">
        <v>364</v>
      </c>
      <c r="B629" s="1">
        <v>27</v>
      </c>
    </row>
    <row r="630" spans="1:2">
      <c r="A630" t="s">
        <v>365</v>
      </c>
      <c r="B630" s="1">
        <v>28</v>
      </c>
    </row>
    <row r="631" spans="1:2">
      <c r="A631" t="s">
        <v>366</v>
      </c>
      <c r="B631" s="1">
        <v>29</v>
      </c>
    </row>
    <row r="632" spans="1:2">
      <c r="A632" t="s">
        <v>367</v>
      </c>
      <c r="B632" s="1">
        <v>30</v>
      </c>
    </row>
    <row r="633" spans="1:2">
      <c r="A633" t="s">
        <v>368</v>
      </c>
      <c r="B633" s="1">
        <v>31</v>
      </c>
    </row>
    <row r="634" spans="1:2">
      <c r="A634" t="s">
        <v>369</v>
      </c>
      <c r="B634" s="1">
        <v>32</v>
      </c>
    </row>
    <row r="635" spans="1:2">
      <c r="A635" t="s">
        <v>370</v>
      </c>
      <c r="B635" s="1">
        <v>33</v>
      </c>
    </row>
    <row r="636" spans="1:2">
      <c r="A636" t="s">
        <v>371</v>
      </c>
      <c r="B636" s="1">
        <v>35</v>
      </c>
    </row>
    <row r="637" spans="1:2">
      <c r="A637" t="s">
        <v>786</v>
      </c>
      <c r="B637" s="1">
        <v>36</v>
      </c>
    </row>
    <row r="638" spans="1:2">
      <c r="A638" t="s">
        <v>787</v>
      </c>
      <c r="B638" s="1">
        <v>37</v>
      </c>
    </row>
    <row r="639" spans="1:2">
      <c r="A639" t="s">
        <v>788</v>
      </c>
      <c r="B639" s="1">
        <v>38</v>
      </c>
    </row>
    <row r="640" spans="1:2">
      <c r="A640" t="s">
        <v>789</v>
      </c>
      <c r="B640" s="1">
        <v>39</v>
      </c>
    </row>
    <row r="641" spans="1:2">
      <c r="A641" t="s">
        <v>372</v>
      </c>
      <c r="B641" s="1">
        <v>40</v>
      </c>
    </row>
    <row r="642" spans="1:2">
      <c r="A642" t="s">
        <v>373</v>
      </c>
      <c r="B642" s="1">
        <v>41</v>
      </c>
    </row>
    <row r="643" spans="1:2">
      <c r="A643" t="s">
        <v>374</v>
      </c>
      <c r="B643" s="1">
        <v>42</v>
      </c>
    </row>
    <row r="644" spans="1:2">
      <c r="A644" t="s">
        <v>375</v>
      </c>
      <c r="B644" s="1">
        <v>43</v>
      </c>
    </row>
    <row r="645" spans="1:2">
      <c r="A645" t="s">
        <v>376</v>
      </c>
      <c r="B645" s="1">
        <v>44</v>
      </c>
    </row>
    <row r="646" spans="1:2">
      <c r="A646" t="s">
        <v>377</v>
      </c>
      <c r="B646" s="1">
        <v>45</v>
      </c>
    </row>
    <row r="647" spans="1:2">
      <c r="A647" t="s">
        <v>378</v>
      </c>
      <c r="B647" s="1">
        <v>46</v>
      </c>
    </row>
    <row r="648" spans="1:2">
      <c r="A648" t="s">
        <v>379</v>
      </c>
      <c r="B648" s="1">
        <v>47</v>
      </c>
    </row>
    <row r="649" spans="1:2">
      <c r="A649" t="s">
        <v>380</v>
      </c>
      <c r="B649" s="1">
        <v>48</v>
      </c>
    </row>
    <row r="650" spans="1:2">
      <c r="A650" t="s">
        <v>381</v>
      </c>
      <c r="B650" s="1">
        <v>49</v>
      </c>
    </row>
    <row r="651" spans="1:2">
      <c r="A651" t="s">
        <v>382</v>
      </c>
      <c r="B651" s="1">
        <v>50</v>
      </c>
    </row>
    <row r="652" spans="1:2">
      <c r="A652" t="s">
        <v>383</v>
      </c>
      <c r="B652" s="1">
        <v>51</v>
      </c>
    </row>
    <row r="653" spans="1:2">
      <c r="A653" t="s">
        <v>384</v>
      </c>
      <c r="B653" s="1">
        <v>52</v>
      </c>
    </row>
    <row r="654" spans="1:2">
      <c r="A654" t="s">
        <v>385</v>
      </c>
      <c r="B654" s="1">
        <v>53</v>
      </c>
    </row>
    <row r="655" spans="1:2">
      <c r="A655" t="s">
        <v>386</v>
      </c>
      <c r="B655" s="1">
        <v>54</v>
      </c>
    </row>
    <row r="656" spans="1:2">
      <c r="A656" t="s">
        <v>387</v>
      </c>
      <c r="B656" s="1">
        <v>55</v>
      </c>
    </row>
    <row r="657" spans="1:2">
      <c r="A657" t="s">
        <v>388</v>
      </c>
      <c r="B657" s="1">
        <v>56</v>
      </c>
    </row>
    <row r="658" spans="1:2">
      <c r="A658" t="s">
        <v>389</v>
      </c>
      <c r="B658" s="1">
        <v>57</v>
      </c>
    </row>
    <row r="659" spans="1:2">
      <c r="A659" t="s">
        <v>390</v>
      </c>
      <c r="B659" s="1">
        <v>58</v>
      </c>
    </row>
    <row r="660" spans="1:2">
      <c r="A660" t="s">
        <v>391</v>
      </c>
      <c r="B660" s="1">
        <v>60</v>
      </c>
    </row>
    <row r="661" spans="1:2">
      <c r="A661" t="s">
        <v>392</v>
      </c>
      <c r="B661" s="1">
        <v>61</v>
      </c>
    </row>
    <row r="662" spans="1:2">
      <c r="A662" t="s">
        <v>393</v>
      </c>
      <c r="B662" s="1">
        <v>62</v>
      </c>
    </row>
    <row r="663" spans="1:2">
      <c r="A663" t="s">
        <v>394</v>
      </c>
      <c r="B663" s="1">
        <v>63</v>
      </c>
    </row>
    <row r="664" spans="1:2">
      <c r="A664" t="s">
        <v>395</v>
      </c>
      <c r="B664" s="1">
        <v>65</v>
      </c>
    </row>
    <row r="665" spans="1:2">
      <c r="A665" t="s">
        <v>396</v>
      </c>
      <c r="B665" s="1">
        <v>66</v>
      </c>
    </row>
    <row r="666" spans="1:2">
      <c r="A666" t="s">
        <v>397</v>
      </c>
      <c r="B666" s="1">
        <v>67</v>
      </c>
    </row>
    <row r="667" spans="1:2">
      <c r="A667" t="s">
        <v>398</v>
      </c>
      <c r="B667" s="1">
        <v>68</v>
      </c>
    </row>
    <row r="668" spans="1:2">
      <c r="A668" t="s">
        <v>399</v>
      </c>
      <c r="B668" s="1">
        <v>70</v>
      </c>
    </row>
    <row r="669" spans="1:2">
      <c r="A669" t="s">
        <v>400</v>
      </c>
      <c r="B669" s="1">
        <v>71</v>
      </c>
    </row>
    <row r="670" spans="1:2">
      <c r="A670" t="s">
        <v>401</v>
      </c>
      <c r="B670" s="1">
        <v>72</v>
      </c>
    </row>
    <row r="671" spans="1:2">
      <c r="A671" t="s">
        <v>402</v>
      </c>
      <c r="B671" s="1">
        <v>73</v>
      </c>
    </row>
    <row r="672" spans="1:2">
      <c r="A672" t="s">
        <v>403</v>
      </c>
      <c r="B672" s="2" t="s">
        <v>790</v>
      </c>
    </row>
    <row r="673" spans="1:2">
      <c r="A673" t="s">
        <v>404</v>
      </c>
      <c r="B673" s="2" t="s">
        <v>791</v>
      </c>
    </row>
    <row r="674" spans="1:2">
      <c r="A674" t="s">
        <v>792</v>
      </c>
      <c r="B674" s="2" t="s">
        <v>793</v>
      </c>
    </row>
    <row r="675" spans="1:2">
      <c r="A675" t="s">
        <v>794</v>
      </c>
      <c r="B675" s="2" t="s">
        <v>795</v>
      </c>
    </row>
    <row r="676" spans="1:2">
      <c r="A676" t="s">
        <v>796</v>
      </c>
      <c r="B676" s="2" t="s">
        <v>797</v>
      </c>
    </row>
    <row r="677" spans="1:2">
      <c r="A677" t="s">
        <v>798</v>
      </c>
      <c r="B677" s="2" t="s">
        <v>799</v>
      </c>
    </row>
    <row r="678" spans="1:2">
      <c r="A678" t="s">
        <v>800</v>
      </c>
      <c r="B678" s="2" t="s">
        <v>801</v>
      </c>
    </row>
    <row r="679" spans="1:2">
      <c r="A679" s="4" t="s">
        <v>802</v>
      </c>
      <c r="B679" s="2" t="s">
        <v>803</v>
      </c>
    </row>
    <row r="680" spans="1:2">
      <c r="A680" t="s">
        <v>678</v>
      </c>
      <c r="B680" s="2" t="s">
        <v>804</v>
      </c>
    </row>
    <row r="681" spans="1:2">
      <c r="A681" t="s">
        <v>679</v>
      </c>
      <c r="B681" s="2" t="s">
        <v>805</v>
      </c>
    </row>
    <row r="682" spans="1:2">
      <c r="A682" t="s">
        <v>680</v>
      </c>
      <c r="B682" s="2" t="s">
        <v>806</v>
      </c>
    </row>
    <row r="683" spans="1:2">
      <c r="A683" t="s">
        <v>681</v>
      </c>
      <c r="B683" s="2" t="s">
        <v>807</v>
      </c>
    </row>
    <row r="684" spans="1:2">
      <c r="A684" t="s">
        <v>682</v>
      </c>
      <c r="B684" s="2" t="s">
        <v>808</v>
      </c>
    </row>
    <row r="685" spans="1:2">
      <c r="A685" s="4" t="s">
        <v>683</v>
      </c>
      <c r="B685" s="2" t="s">
        <v>809</v>
      </c>
    </row>
    <row r="686" spans="1:2">
      <c r="A686" s="5" t="s">
        <v>684</v>
      </c>
      <c r="B686" s="2" t="s">
        <v>810</v>
      </c>
    </row>
    <row r="687" spans="1:2">
      <c r="A687" t="s">
        <v>405</v>
      </c>
      <c r="B687" s="2" t="s">
        <v>811</v>
      </c>
    </row>
    <row r="688" spans="1:2">
      <c r="A688" t="s">
        <v>406</v>
      </c>
      <c r="B688" s="2" t="s">
        <v>812</v>
      </c>
    </row>
    <row r="689" spans="1:2">
      <c r="A689" t="s">
        <v>407</v>
      </c>
      <c r="B689" s="2" t="s">
        <v>813</v>
      </c>
    </row>
    <row r="690" spans="1:2">
      <c r="A690" t="s">
        <v>685</v>
      </c>
      <c r="B690" s="2" t="s">
        <v>814</v>
      </c>
    </row>
    <row r="691" spans="1:2">
      <c r="A691" t="s">
        <v>686</v>
      </c>
      <c r="B691" s="2" t="s">
        <v>815</v>
      </c>
    </row>
    <row r="692" spans="1:2">
      <c r="A692" s="4" t="s">
        <v>687</v>
      </c>
      <c r="B692" s="2" t="s">
        <v>816</v>
      </c>
    </row>
    <row r="693" spans="1:2">
      <c r="A693" s="5" t="s">
        <v>688</v>
      </c>
      <c r="B693" s="2" t="s">
        <v>817</v>
      </c>
    </row>
    <row r="694" spans="1:2">
      <c r="A694" s="5" t="s">
        <v>689</v>
      </c>
      <c r="B694" s="2" t="s">
        <v>818</v>
      </c>
    </row>
    <row r="695" spans="1:2">
      <c r="A695" s="5" t="s">
        <v>690</v>
      </c>
      <c r="B695" s="2" t="s">
        <v>819</v>
      </c>
    </row>
    <row r="696" spans="1:2">
      <c r="A696" t="s">
        <v>408</v>
      </c>
      <c r="B696" s="1">
        <v>1</v>
      </c>
    </row>
    <row r="697" spans="1:2">
      <c r="A697" t="s">
        <v>409</v>
      </c>
      <c r="B697" s="1">
        <v>2</v>
      </c>
    </row>
    <row r="698" spans="1:2">
      <c r="A698" t="s">
        <v>410</v>
      </c>
      <c r="B698" s="1">
        <v>3</v>
      </c>
    </row>
    <row r="699" spans="1:2">
      <c r="A699" t="s">
        <v>411</v>
      </c>
      <c r="B699" s="1">
        <v>4</v>
      </c>
    </row>
    <row r="700" spans="1:2">
      <c r="A700" t="s">
        <v>412</v>
      </c>
      <c r="B700" s="1">
        <v>5</v>
      </c>
    </row>
    <row r="701" spans="1:2">
      <c r="A701" t="s">
        <v>820</v>
      </c>
      <c r="B701" s="1">
        <v>6</v>
      </c>
    </row>
    <row r="702" spans="1:2">
      <c r="A702" t="s">
        <v>413</v>
      </c>
      <c r="B702" s="1">
        <v>7</v>
      </c>
    </row>
    <row r="703" spans="1:2">
      <c r="A703" t="s">
        <v>414</v>
      </c>
      <c r="B703" s="1">
        <v>8</v>
      </c>
    </row>
    <row r="704" spans="1:2">
      <c r="A704" t="s">
        <v>415</v>
      </c>
      <c r="B704" s="1">
        <v>10</v>
      </c>
    </row>
    <row r="705" spans="1:2">
      <c r="A705" t="s">
        <v>821</v>
      </c>
      <c r="B705" s="1">
        <v>11</v>
      </c>
    </row>
    <row r="706" spans="1:2">
      <c r="A706" t="s">
        <v>822</v>
      </c>
      <c r="B706" s="1">
        <v>12</v>
      </c>
    </row>
    <row r="707" spans="1:2">
      <c r="A707" t="s">
        <v>823</v>
      </c>
      <c r="B707" s="1">
        <v>13</v>
      </c>
    </row>
    <row r="708" spans="1:2">
      <c r="A708" t="s">
        <v>824</v>
      </c>
      <c r="B708" s="1">
        <v>14</v>
      </c>
    </row>
    <row r="709" spans="1:2">
      <c r="A709" t="s">
        <v>416</v>
      </c>
      <c r="B709" s="1">
        <v>15</v>
      </c>
    </row>
    <row r="710" spans="1:2">
      <c r="A710" t="s">
        <v>417</v>
      </c>
      <c r="B710" s="1">
        <v>16</v>
      </c>
    </row>
    <row r="711" spans="1:2">
      <c r="A711" t="s">
        <v>418</v>
      </c>
      <c r="B711" s="1">
        <v>17</v>
      </c>
    </row>
    <row r="712" spans="1:2">
      <c r="A712" t="s">
        <v>419</v>
      </c>
      <c r="B712" s="1">
        <v>18</v>
      </c>
    </row>
    <row r="713" spans="1:2">
      <c r="A713" t="s">
        <v>420</v>
      </c>
      <c r="B713" s="1">
        <v>19</v>
      </c>
    </row>
    <row r="714" spans="1:2">
      <c r="A714" t="s">
        <v>421</v>
      </c>
      <c r="B714" s="1">
        <v>20</v>
      </c>
    </row>
    <row r="715" spans="1:2">
      <c r="A715" t="s">
        <v>422</v>
      </c>
      <c r="B715" s="1">
        <v>21</v>
      </c>
    </row>
    <row r="716" spans="1:2">
      <c r="A716" t="s">
        <v>423</v>
      </c>
      <c r="B716" s="1">
        <v>22</v>
      </c>
    </row>
    <row r="717" spans="1:2">
      <c r="A717" t="s">
        <v>424</v>
      </c>
      <c r="B717" s="1">
        <v>23</v>
      </c>
    </row>
    <row r="718" spans="1:2">
      <c r="A718" t="s">
        <v>425</v>
      </c>
      <c r="B718" s="1">
        <v>24</v>
      </c>
    </row>
    <row r="719" spans="1:2">
      <c r="A719" t="s">
        <v>426</v>
      </c>
      <c r="B719" s="1">
        <v>25</v>
      </c>
    </row>
    <row r="720" spans="1:2">
      <c r="A720" t="s">
        <v>427</v>
      </c>
      <c r="B720" s="1">
        <v>26</v>
      </c>
    </row>
    <row r="721" spans="1:2">
      <c r="A721" t="s">
        <v>428</v>
      </c>
      <c r="B721" s="1">
        <v>27</v>
      </c>
    </row>
    <row r="722" spans="1:2">
      <c r="A722" t="s">
        <v>429</v>
      </c>
      <c r="B722" s="1">
        <v>28</v>
      </c>
    </row>
    <row r="723" spans="1:2">
      <c r="A723" t="s">
        <v>430</v>
      </c>
      <c r="B723" s="1">
        <v>29</v>
      </c>
    </row>
    <row r="724" spans="1:2">
      <c r="A724" t="s">
        <v>431</v>
      </c>
      <c r="B724" s="1">
        <v>30</v>
      </c>
    </row>
    <row r="725" spans="1:2">
      <c r="A725" t="s">
        <v>432</v>
      </c>
      <c r="B725" s="1">
        <v>31</v>
      </c>
    </row>
    <row r="726" spans="1:2">
      <c r="A726" t="s">
        <v>433</v>
      </c>
      <c r="B726" s="1">
        <v>32</v>
      </c>
    </row>
    <row r="727" spans="1:2">
      <c r="A727" t="s">
        <v>434</v>
      </c>
      <c r="B727" s="1">
        <v>33</v>
      </c>
    </row>
    <row r="728" spans="1:2">
      <c r="A728" t="s">
        <v>435</v>
      </c>
      <c r="B728" s="1">
        <v>34</v>
      </c>
    </row>
    <row r="729" spans="1:2">
      <c r="A729" t="s">
        <v>436</v>
      </c>
      <c r="B729" s="1">
        <v>35</v>
      </c>
    </row>
    <row r="730" spans="1:2">
      <c r="A730" t="s">
        <v>437</v>
      </c>
      <c r="B730" s="1">
        <v>36</v>
      </c>
    </row>
    <row r="731" spans="1:2">
      <c r="A731" t="s">
        <v>438</v>
      </c>
      <c r="B731" s="1">
        <v>37</v>
      </c>
    </row>
    <row r="732" spans="1:2">
      <c r="A732" t="s">
        <v>439</v>
      </c>
      <c r="B732" s="1">
        <v>39</v>
      </c>
    </row>
    <row r="733" spans="1:2">
      <c r="A733" t="s">
        <v>825</v>
      </c>
      <c r="B733" s="1">
        <v>40</v>
      </c>
    </row>
    <row r="734" spans="1:2">
      <c r="A734" t="s">
        <v>826</v>
      </c>
      <c r="B734" s="1">
        <v>41</v>
      </c>
    </row>
    <row r="735" spans="1:2">
      <c r="A735" t="s">
        <v>827</v>
      </c>
      <c r="B735" s="1">
        <v>42</v>
      </c>
    </row>
    <row r="736" spans="1:2">
      <c r="A736" t="s">
        <v>828</v>
      </c>
      <c r="B736" s="1">
        <v>43</v>
      </c>
    </row>
    <row r="737" spans="1:2">
      <c r="A737" t="s">
        <v>440</v>
      </c>
      <c r="B737" s="1">
        <v>44</v>
      </c>
    </row>
    <row r="738" spans="1:2">
      <c r="A738" t="s">
        <v>441</v>
      </c>
      <c r="B738" s="1">
        <v>45</v>
      </c>
    </row>
    <row r="739" spans="1:2">
      <c r="A739" t="s">
        <v>442</v>
      </c>
      <c r="B739" s="1">
        <v>46</v>
      </c>
    </row>
    <row r="740" spans="1:2">
      <c r="A740" t="s">
        <v>443</v>
      </c>
      <c r="B740" s="1">
        <v>47</v>
      </c>
    </row>
    <row r="741" spans="1:2">
      <c r="A741" t="s">
        <v>444</v>
      </c>
      <c r="B741" s="1">
        <v>48</v>
      </c>
    </row>
    <row r="742" spans="1:2">
      <c r="A742" t="s">
        <v>445</v>
      </c>
      <c r="B742" s="1">
        <v>49</v>
      </c>
    </row>
    <row r="743" spans="1:2">
      <c r="A743" t="s">
        <v>446</v>
      </c>
      <c r="B743" s="1">
        <v>50</v>
      </c>
    </row>
    <row r="744" spans="1:2">
      <c r="A744" t="s">
        <v>447</v>
      </c>
      <c r="B744" s="1">
        <v>51</v>
      </c>
    </row>
    <row r="745" spans="1:2">
      <c r="A745" t="s">
        <v>448</v>
      </c>
      <c r="B745" s="1">
        <v>52</v>
      </c>
    </row>
    <row r="746" spans="1:2">
      <c r="A746" t="s">
        <v>449</v>
      </c>
      <c r="B746" s="1">
        <v>53</v>
      </c>
    </row>
    <row r="747" spans="1:2">
      <c r="A747" t="s">
        <v>450</v>
      </c>
      <c r="B747" s="1">
        <v>54</v>
      </c>
    </row>
    <row r="748" spans="1:2">
      <c r="A748" t="s">
        <v>451</v>
      </c>
      <c r="B748" s="1">
        <v>55</v>
      </c>
    </row>
    <row r="749" spans="1:2">
      <c r="A749" t="s">
        <v>452</v>
      </c>
      <c r="B749" s="1">
        <v>56</v>
      </c>
    </row>
    <row r="750" spans="1:2">
      <c r="A750" t="s">
        <v>453</v>
      </c>
      <c r="B750" s="1">
        <v>57</v>
      </c>
    </row>
    <row r="751" spans="1:2">
      <c r="A751" t="s">
        <v>454</v>
      </c>
      <c r="B751" s="1">
        <v>58</v>
      </c>
    </row>
    <row r="752" spans="1:2">
      <c r="A752" t="s">
        <v>455</v>
      </c>
      <c r="B752" s="1">
        <v>59</v>
      </c>
    </row>
    <row r="753" spans="1:2">
      <c r="A753" t="s">
        <v>456</v>
      </c>
      <c r="B753" s="1">
        <v>60</v>
      </c>
    </row>
    <row r="754" spans="1:2">
      <c r="A754" t="s">
        <v>457</v>
      </c>
      <c r="B754" s="1">
        <v>61</v>
      </c>
    </row>
    <row r="755" spans="1:2">
      <c r="A755" t="s">
        <v>458</v>
      </c>
      <c r="B755" s="1">
        <v>62</v>
      </c>
    </row>
    <row r="756" spans="1:2">
      <c r="A756" t="s">
        <v>459</v>
      </c>
      <c r="B756" s="1">
        <v>63</v>
      </c>
    </row>
    <row r="757" spans="1:2">
      <c r="A757" t="s">
        <v>460</v>
      </c>
      <c r="B757" s="1">
        <v>64</v>
      </c>
    </row>
    <row r="758" spans="1:2">
      <c r="A758" t="s">
        <v>461</v>
      </c>
      <c r="B758" s="1">
        <v>65</v>
      </c>
    </row>
    <row r="759" spans="1:2">
      <c r="A759" t="s">
        <v>462</v>
      </c>
      <c r="B759" s="1">
        <v>66</v>
      </c>
    </row>
    <row r="760" spans="1:2">
      <c r="A760" t="s">
        <v>463</v>
      </c>
      <c r="B760" s="1">
        <v>68</v>
      </c>
    </row>
    <row r="761" spans="1:2">
      <c r="A761" t="s">
        <v>464</v>
      </c>
      <c r="B761" s="1">
        <v>69</v>
      </c>
    </row>
    <row r="762" spans="1:2">
      <c r="A762" t="s">
        <v>465</v>
      </c>
      <c r="B762" s="1">
        <v>70</v>
      </c>
    </row>
    <row r="763" spans="1:2">
      <c r="A763" t="s">
        <v>466</v>
      </c>
      <c r="B763" s="1">
        <v>71</v>
      </c>
    </row>
    <row r="764" spans="1:2">
      <c r="A764" t="s">
        <v>467</v>
      </c>
      <c r="B764" s="1">
        <v>73</v>
      </c>
    </row>
    <row r="765" spans="1:2">
      <c r="A765" t="s">
        <v>468</v>
      </c>
      <c r="B765" s="1">
        <v>74</v>
      </c>
    </row>
    <row r="766" spans="1:2">
      <c r="A766" t="s">
        <v>469</v>
      </c>
      <c r="B766" s="1">
        <v>75</v>
      </c>
    </row>
    <row r="767" spans="1:2">
      <c r="A767" t="s">
        <v>470</v>
      </c>
      <c r="B767" s="1">
        <v>76</v>
      </c>
    </row>
    <row r="768" spans="1:2">
      <c r="A768" t="s">
        <v>471</v>
      </c>
      <c r="B768" s="1">
        <v>78</v>
      </c>
    </row>
    <row r="769" spans="1:2">
      <c r="A769" t="s">
        <v>472</v>
      </c>
      <c r="B769" s="1">
        <v>79</v>
      </c>
    </row>
    <row r="770" spans="1:2">
      <c r="A770" t="s">
        <v>473</v>
      </c>
      <c r="B770" s="1">
        <v>80</v>
      </c>
    </row>
    <row r="771" spans="1:2">
      <c r="A771" t="s">
        <v>474</v>
      </c>
      <c r="B771" s="1">
        <v>81</v>
      </c>
    </row>
    <row r="772" spans="1:2">
      <c r="A772" t="s">
        <v>475</v>
      </c>
      <c r="B772" s="1">
        <v>83</v>
      </c>
    </row>
    <row r="773" spans="1:2">
      <c r="A773" t="s">
        <v>476</v>
      </c>
      <c r="B773" s="1">
        <v>84</v>
      </c>
    </row>
    <row r="774" spans="1:2">
      <c r="A774" t="s">
        <v>477</v>
      </c>
      <c r="B774" s="1">
        <v>85</v>
      </c>
    </row>
    <row r="775" spans="1:2">
      <c r="A775" t="s">
        <v>478</v>
      </c>
      <c r="B775" s="1">
        <v>86</v>
      </c>
    </row>
    <row r="776" spans="1:2">
      <c r="A776" t="s">
        <v>479</v>
      </c>
      <c r="B776" s="1">
        <v>88</v>
      </c>
    </row>
    <row r="777" spans="1:2">
      <c r="A777" t="s">
        <v>480</v>
      </c>
      <c r="B777" s="1">
        <v>89</v>
      </c>
    </row>
    <row r="778" spans="1:2">
      <c r="A778" t="s">
        <v>481</v>
      </c>
      <c r="B778" s="1">
        <v>90</v>
      </c>
    </row>
    <row r="779" spans="1:2">
      <c r="A779" t="s">
        <v>482</v>
      </c>
      <c r="B779" s="1">
        <v>91</v>
      </c>
    </row>
    <row r="780" spans="1:2">
      <c r="A780" t="s">
        <v>483</v>
      </c>
      <c r="B780" s="2" t="s">
        <v>829</v>
      </c>
    </row>
    <row r="781" spans="1:2">
      <c r="A781" t="s">
        <v>484</v>
      </c>
      <c r="B781" s="2" t="s">
        <v>830</v>
      </c>
    </row>
    <row r="782" spans="1:2">
      <c r="A782" t="s">
        <v>831</v>
      </c>
      <c r="B782" s="2" t="s">
        <v>832</v>
      </c>
    </row>
    <row r="783" spans="1:2">
      <c r="A783" t="s">
        <v>833</v>
      </c>
      <c r="B783" s="2" t="s">
        <v>834</v>
      </c>
    </row>
    <row r="784" spans="1:2">
      <c r="A784" t="s">
        <v>835</v>
      </c>
      <c r="B784" s="2" t="s">
        <v>836</v>
      </c>
    </row>
    <row r="785" spans="1:2">
      <c r="A785" t="s">
        <v>837</v>
      </c>
      <c r="B785" s="2" t="s">
        <v>838</v>
      </c>
    </row>
    <row r="786" spans="1:2">
      <c r="A786" t="s">
        <v>839</v>
      </c>
      <c r="B786" s="2" t="s">
        <v>840</v>
      </c>
    </row>
    <row r="787" spans="1:2">
      <c r="A787" s="4" t="s">
        <v>841</v>
      </c>
      <c r="B787" s="2" t="s">
        <v>842</v>
      </c>
    </row>
    <row r="788" spans="1:2">
      <c r="A788" t="s">
        <v>665</v>
      </c>
      <c r="B788" s="2" t="s">
        <v>843</v>
      </c>
    </row>
    <row r="789" spans="1:2">
      <c r="A789" t="s">
        <v>666</v>
      </c>
      <c r="B789" s="2" t="s">
        <v>844</v>
      </c>
    </row>
    <row r="790" spans="1:2">
      <c r="A790" t="s">
        <v>667</v>
      </c>
      <c r="B790" s="2" t="s">
        <v>845</v>
      </c>
    </row>
    <row r="791" spans="1:2">
      <c r="A791" t="s">
        <v>668</v>
      </c>
      <c r="B791" s="2" t="s">
        <v>846</v>
      </c>
    </row>
    <row r="792" spans="1:2">
      <c r="A792" t="s">
        <v>669</v>
      </c>
      <c r="B792" s="2" t="s">
        <v>847</v>
      </c>
    </row>
    <row r="793" spans="1:2">
      <c r="A793" s="4" t="s">
        <v>670</v>
      </c>
      <c r="B793" s="2" t="s">
        <v>848</v>
      </c>
    </row>
    <row r="794" spans="1:2">
      <c r="A794" s="5" t="s">
        <v>671</v>
      </c>
      <c r="B794" s="2" t="s">
        <v>849</v>
      </c>
    </row>
    <row r="795" spans="1:2">
      <c r="A795" t="s">
        <v>485</v>
      </c>
      <c r="B795" s="2" t="s">
        <v>850</v>
      </c>
    </row>
    <row r="796" spans="1:2">
      <c r="A796" t="s">
        <v>486</v>
      </c>
      <c r="B796" s="2" t="s">
        <v>851</v>
      </c>
    </row>
    <row r="797" spans="1:2">
      <c r="A797" t="s">
        <v>487</v>
      </c>
      <c r="B797" s="2" t="s">
        <v>852</v>
      </c>
    </row>
    <row r="798" spans="1:2">
      <c r="A798" t="s">
        <v>672</v>
      </c>
      <c r="B798" s="2" t="s">
        <v>853</v>
      </c>
    </row>
    <row r="799" spans="1:2">
      <c r="A799" t="s">
        <v>673</v>
      </c>
      <c r="B799" s="2" t="s">
        <v>854</v>
      </c>
    </row>
    <row r="800" spans="1:2">
      <c r="A800" s="4" t="s">
        <v>674</v>
      </c>
      <c r="B800" s="2" t="s">
        <v>855</v>
      </c>
    </row>
    <row r="801" spans="1:2">
      <c r="A801" s="5" t="s">
        <v>675</v>
      </c>
      <c r="B801" s="2" t="s">
        <v>856</v>
      </c>
    </row>
    <row r="802" spans="1:2">
      <c r="A802" s="5" t="s">
        <v>676</v>
      </c>
      <c r="B802" s="2" t="s">
        <v>857</v>
      </c>
    </row>
    <row r="803" spans="1:2">
      <c r="A803" s="5" t="s">
        <v>677</v>
      </c>
      <c r="B803" s="2" t="s">
        <v>858</v>
      </c>
    </row>
    <row r="804" spans="1:2">
      <c r="A804" t="s">
        <v>488</v>
      </c>
      <c r="B804" s="1">
        <v>1</v>
      </c>
    </row>
    <row r="805" spans="1:2">
      <c r="A805" t="s">
        <v>489</v>
      </c>
      <c r="B805" s="1">
        <v>2</v>
      </c>
    </row>
    <row r="806" spans="1:2">
      <c r="A806" t="s">
        <v>490</v>
      </c>
      <c r="B806" s="1">
        <v>3</v>
      </c>
    </row>
    <row r="807" spans="1:2">
      <c r="A807" t="s">
        <v>491</v>
      </c>
      <c r="B807" s="1">
        <v>4</v>
      </c>
    </row>
    <row r="808" spans="1:2">
      <c r="A808" t="s">
        <v>859</v>
      </c>
      <c r="B808" s="1">
        <v>5</v>
      </c>
    </row>
    <row r="809" spans="1:2">
      <c r="A809" t="s">
        <v>492</v>
      </c>
      <c r="B809" s="1">
        <v>6</v>
      </c>
    </row>
    <row r="810" spans="1:2">
      <c r="A810" t="s">
        <v>493</v>
      </c>
      <c r="B810" s="1">
        <v>7</v>
      </c>
    </row>
    <row r="811" spans="1:2">
      <c r="A811" t="s">
        <v>494</v>
      </c>
      <c r="B811" s="1">
        <v>9</v>
      </c>
    </row>
    <row r="812" spans="1:2">
      <c r="A812" t="s">
        <v>860</v>
      </c>
      <c r="B812" s="1">
        <v>10</v>
      </c>
    </row>
    <row r="813" spans="1:2">
      <c r="A813" t="s">
        <v>861</v>
      </c>
      <c r="B813" s="1">
        <v>11</v>
      </c>
    </row>
    <row r="814" spans="1:2">
      <c r="A814" t="s">
        <v>862</v>
      </c>
      <c r="B814" s="1">
        <v>12</v>
      </c>
    </row>
    <row r="815" spans="1:2">
      <c r="A815" t="s">
        <v>863</v>
      </c>
      <c r="B815" s="1">
        <v>13</v>
      </c>
    </row>
    <row r="816" spans="1:2">
      <c r="A816" t="s">
        <v>495</v>
      </c>
      <c r="B816" s="1">
        <v>14</v>
      </c>
    </row>
    <row r="817" spans="1:2">
      <c r="A817" t="s">
        <v>496</v>
      </c>
      <c r="B817" s="1">
        <v>15</v>
      </c>
    </row>
    <row r="818" spans="1:2">
      <c r="A818" t="s">
        <v>497</v>
      </c>
      <c r="B818" s="1">
        <v>16</v>
      </c>
    </row>
    <row r="819" spans="1:2">
      <c r="A819" t="s">
        <v>498</v>
      </c>
      <c r="B819" s="1">
        <v>17</v>
      </c>
    </row>
    <row r="820" spans="1:2">
      <c r="A820" t="s">
        <v>499</v>
      </c>
      <c r="B820" s="1">
        <v>18</v>
      </c>
    </row>
    <row r="821" spans="1:2">
      <c r="A821" t="s">
        <v>500</v>
      </c>
      <c r="B821" s="1">
        <v>19</v>
      </c>
    </row>
    <row r="822" spans="1:2">
      <c r="A822" t="s">
        <v>501</v>
      </c>
      <c r="B822" s="1">
        <v>20</v>
      </c>
    </row>
    <row r="823" spans="1:2">
      <c r="A823" t="s">
        <v>502</v>
      </c>
      <c r="B823" s="1">
        <v>21</v>
      </c>
    </row>
    <row r="824" spans="1:2">
      <c r="A824" t="s">
        <v>503</v>
      </c>
      <c r="B824" s="1">
        <v>22</v>
      </c>
    </row>
    <row r="825" spans="1:2">
      <c r="A825" t="s">
        <v>504</v>
      </c>
      <c r="B825" s="1">
        <v>23</v>
      </c>
    </row>
    <row r="826" spans="1:2">
      <c r="A826" t="s">
        <v>505</v>
      </c>
      <c r="B826" s="1">
        <v>24</v>
      </c>
    </row>
    <row r="827" spans="1:2">
      <c r="A827" t="s">
        <v>506</v>
      </c>
      <c r="B827" s="1">
        <v>25</v>
      </c>
    </row>
    <row r="828" spans="1:2">
      <c r="A828" t="s">
        <v>507</v>
      </c>
      <c r="B828" s="1">
        <v>26</v>
      </c>
    </row>
    <row r="829" spans="1:2">
      <c r="A829" t="s">
        <v>508</v>
      </c>
      <c r="B829" s="1">
        <v>27</v>
      </c>
    </row>
    <row r="830" spans="1:2">
      <c r="A830" t="s">
        <v>509</v>
      </c>
      <c r="B830" s="1">
        <v>28</v>
      </c>
    </row>
    <row r="831" spans="1:2">
      <c r="A831" t="s">
        <v>510</v>
      </c>
      <c r="B831" s="1">
        <v>30</v>
      </c>
    </row>
    <row r="832" spans="1:2">
      <c r="A832" t="s">
        <v>864</v>
      </c>
      <c r="B832" s="1">
        <v>31</v>
      </c>
    </row>
    <row r="833" spans="1:2">
      <c r="A833" t="s">
        <v>865</v>
      </c>
      <c r="B833" s="1">
        <v>32</v>
      </c>
    </row>
    <row r="834" spans="1:2">
      <c r="A834" t="s">
        <v>866</v>
      </c>
      <c r="B834" s="1">
        <v>33</v>
      </c>
    </row>
    <row r="835" spans="1:2">
      <c r="A835" t="s">
        <v>867</v>
      </c>
      <c r="B835" s="1">
        <v>34</v>
      </c>
    </row>
    <row r="836" spans="1:2">
      <c r="A836" t="s">
        <v>511</v>
      </c>
      <c r="B836" s="1">
        <v>35</v>
      </c>
    </row>
    <row r="837" spans="1:2">
      <c r="A837" t="s">
        <v>512</v>
      </c>
      <c r="B837" s="1">
        <v>36</v>
      </c>
    </row>
    <row r="838" spans="1:2">
      <c r="A838" t="s">
        <v>513</v>
      </c>
      <c r="B838" s="1">
        <v>37</v>
      </c>
    </row>
    <row r="839" spans="1:2">
      <c r="A839" t="s">
        <v>514</v>
      </c>
      <c r="B839" s="1">
        <v>38</v>
      </c>
    </row>
    <row r="840" spans="1:2">
      <c r="A840" t="s">
        <v>515</v>
      </c>
      <c r="B840" s="1">
        <v>39</v>
      </c>
    </row>
    <row r="841" spans="1:2">
      <c r="A841" t="s">
        <v>516</v>
      </c>
      <c r="B841" s="1">
        <v>40</v>
      </c>
    </row>
    <row r="842" spans="1:2">
      <c r="A842" t="s">
        <v>517</v>
      </c>
      <c r="B842" s="1">
        <v>41</v>
      </c>
    </row>
    <row r="843" spans="1:2">
      <c r="A843" t="s">
        <v>518</v>
      </c>
      <c r="B843" s="1">
        <v>42</v>
      </c>
    </row>
    <row r="844" spans="1:2">
      <c r="A844" t="s">
        <v>519</v>
      </c>
      <c r="B844" s="1">
        <v>43</v>
      </c>
    </row>
    <row r="845" spans="1:2">
      <c r="A845" t="s">
        <v>520</v>
      </c>
      <c r="B845" s="1">
        <v>44</v>
      </c>
    </row>
    <row r="846" spans="1:2">
      <c r="A846" t="s">
        <v>521</v>
      </c>
      <c r="B846" s="1">
        <v>45</v>
      </c>
    </row>
    <row r="847" spans="1:2">
      <c r="A847" t="s">
        <v>522</v>
      </c>
      <c r="B847" s="1">
        <v>46</v>
      </c>
    </row>
    <row r="848" spans="1:2">
      <c r="A848" t="s">
        <v>523</v>
      </c>
      <c r="B848" s="1">
        <v>47</v>
      </c>
    </row>
    <row r="849" spans="1:2">
      <c r="A849" t="s">
        <v>524</v>
      </c>
      <c r="B849" s="1">
        <v>48</v>
      </c>
    </row>
    <row r="850" spans="1:2">
      <c r="A850" t="s">
        <v>525</v>
      </c>
      <c r="B850" s="1">
        <v>49</v>
      </c>
    </row>
    <row r="851" spans="1:2">
      <c r="A851" t="s">
        <v>526</v>
      </c>
      <c r="B851" s="1">
        <v>51</v>
      </c>
    </row>
    <row r="852" spans="1:2">
      <c r="A852" t="s">
        <v>527</v>
      </c>
      <c r="B852" s="1">
        <v>52</v>
      </c>
    </row>
    <row r="853" spans="1:2">
      <c r="A853" t="s">
        <v>528</v>
      </c>
      <c r="B853" s="1">
        <v>53</v>
      </c>
    </row>
    <row r="854" spans="1:2">
      <c r="A854" t="s">
        <v>529</v>
      </c>
      <c r="B854" s="1">
        <v>54</v>
      </c>
    </row>
    <row r="855" spans="1:2">
      <c r="A855" t="s">
        <v>530</v>
      </c>
      <c r="B855" s="1">
        <v>55</v>
      </c>
    </row>
    <row r="856" spans="1:2">
      <c r="A856" t="s">
        <v>531</v>
      </c>
      <c r="B856" s="1">
        <v>56</v>
      </c>
    </row>
    <row r="857" spans="1:2">
      <c r="A857" t="s">
        <v>532</v>
      </c>
      <c r="B857" s="1">
        <v>57</v>
      </c>
    </row>
    <row r="858" spans="1:2">
      <c r="A858" t="s">
        <v>533</v>
      </c>
      <c r="B858" s="1">
        <v>58</v>
      </c>
    </row>
    <row r="859" spans="1:2">
      <c r="A859" t="s">
        <v>534</v>
      </c>
      <c r="B859" s="2" t="s">
        <v>868</v>
      </c>
    </row>
    <row r="860" spans="1:2">
      <c r="A860" t="s">
        <v>535</v>
      </c>
      <c r="B860" s="2" t="s">
        <v>869</v>
      </c>
    </row>
    <row r="861" spans="1:2">
      <c r="A861" t="s">
        <v>870</v>
      </c>
      <c r="B861" s="2" t="s">
        <v>871</v>
      </c>
    </row>
    <row r="862" spans="1:2">
      <c r="A862" t="s">
        <v>872</v>
      </c>
      <c r="B862" s="2" t="s">
        <v>873</v>
      </c>
    </row>
    <row r="863" spans="1:2">
      <c r="A863" t="s">
        <v>874</v>
      </c>
      <c r="B863" s="2" t="s">
        <v>875</v>
      </c>
    </row>
    <row r="864" spans="1:2">
      <c r="A864" t="s">
        <v>876</v>
      </c>
      <c r="B864" s="2" t="s">
        <v>877</v>
      </c>
    </row>
    <row r="865" spans="1:2">
      <c r="A865" t="s">
        <v>878</v>
      </c>
      <c r="B865" s="2" t="s">
        <v>879</v>
      </c>
    </row>
    <row r="866" spans="1:2">
      <c r="A866" s="4" t="s">
        <v>880</v>
      </c>
      <c r="B866" s="2" t="s">
        <v>881</v>
      </c>
    </row>
    <row r="867" spans="1:2">
      <c r="A867" t="s">
        <v>652</v>
      </c>
      <c r="B867" s="2" t="s">
        <v>882</v>
      </c>
    </row>
    <row r="868" spans="1:2">
      <c r="A868" t="s">
        <v>653</v>
      </c>
      <c r="B868" s="2" t="s">
        <v>883</v>
      </c>
    </row>
    <row r="869" spans="1:2">
      <c r="A869" t="s">
        <v>654</v>
      </c>
      <c r="B869" s="2" t="s">
        <v>884</v>
      </c>
    </row>
    <row r="870" spans="1:2">
      <c r="A870" t="s">
        <v>655</v>
      </c>
      <c r="B870" s="2" t="s">
        <v>885</v>
      </c>
    </row>
    <row r="871" spans="1:2">
      <c r="A871" t="s">
        <v>656</v>
      </c>
      <c r="B871" s="2" t="s">
        <v>886</v>
      </c>
    </row>
    <row r="872" spans="1:2">
      <c r="A872" s="4" t="s">
        <v>657</v>
      </c>
      <c r="B872" s="2" t="s">
        <v>887</v>
      </c>
    </row>
    <row r="873" spans="1:2">
      <c r="A873" s="5" t="s">
        <v>658</v>
      </c>
      <c r="B873" s="2" t="s">
        <v>888</v>
      </c>
    </row>
    <row r="874" spans="1:2">
      <c r="A874" t="s">
        <v>536</v>
      </c>
      <c r="B874" s="2" t="s">
        <v>889</v>
      </c>
    </row>
    <row r="875" spans="1:2">
      <c r="A875" t="s">
        <v>537</v>
      </c>
      <c r="B875" s="2" t="s">
        <v>890</v>
      </c>
    </row>
    <row r="876" spans="1:2">
      <c r="A876" t="s">
        <v>538</v>
      </c>
      <c r="B876" s="2" t="s">
        <v>891</v>
      </c>
    </row>
    <row r="877" spans="1:2">
      <c r="A877" t="s">
        <v>659</v>
      </c>
      <c r="B877" s="2" t="s">
        <v>892</v>
      </c>
    </row>
    <row r="878" spans="1:2">
      <c r="A878" t="s">
        <v>660</v>
      </c>
      <c r="B878" s="2" t="s">
        <v>893</v>
      </c>
    </row>
    <row r="879" spans="1:2">
      <c r="A879" s="4" t="s">
        <v>661</v>
      </c>
      <c r="B879" s="2" t="s">
        <v>894</v>
      </c>
    </row>
    <row r="880" spans="1:2">
      <c r="A880" s="5" t="s">
        <v>662</v>
      </c>
      <c r="B880" s="2" t="s">
        <v>895</v>
      </c>
    </row>
    <row r="881" spans="1:2">
      <c r="A881" s="5" t="s">
        <v>663</v>
      </c>
      <c r="B881" s="2" t="s">
        <v>896</v>
      </c>
    </row>
    <row r="882" spans="1:2">
      <c r="A882" s="5" t="s">
        <v>664</v>
      </c>
      <c r="B882" s="2" t="s">
        <v>897</v>
      </c>
    </row>
  </sheetData>
  <sortState xmlns:xlrd2="http://schemas.microsoft.com/office/spreadsheetml/2017/richdata2" columnSort="1" ref="B4:R4">
    <sortCondition ref="B4:R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5FB6-1597-416E-AB48-B99AAE523859}">
  <dimension ref="A1:AB12"/>
  <sheetViews>
    <sheetView topLeftCell="B1" zoomScale="115" zoomScaleNormal="115" workbookViewId="0">
      <selection activeCell="W4" sqref="W4:Y4"/>
    </sheetView>
  </sheetViews>
  <sheetFormatPr defaultRowHeight="15"/>
  <cols>
    <col min="1" max="1" width="12.85546875" hidden="1" customWidth="1"/>
    <col min="2" max="2" width="21.85546875" customWidth="1"/>
    <col min="3" max="3" width="22.85546875" hidden="1" customWidth="1"/>
    <col min="4" max="5" width="8.85546875" hidden="1" customWidth="1"/>
    <col min="6" max="6" width="9.42578125" customWidth="1"/>
    <col min="7" max="7" width="11.5703125" customWidth="1"/>
    <col min="8" max="17" width="11.140625" customWidth="1"/>
    <col min="18" max="19" width="9.5703125" customWidth="1"/>
    <col min="20" max="28" width="11.140625" customWidth="1"/>
  </cols>
  <sheetData>
    <row r="1" spans="1:28" ht="15.6" customHeight="1" thickBot="1">
      <c r="A1" s="82" t="s">
        <v>1272</v>
      </c>
      <c r="B1" s="86" t="s">
        <v>1277</v>
      </c>
      <c r="C1" s="203" t="s">
        <v>1280</v>
      </c>
      <c r="D1" s="203"/>
      <c r="E1" s="85"/>
      <c r="F1" s="216" t="s">
        <v>1274</v>
      </c>
      <c r="G1" s="219" t="s">
        <v>1240</v>
      </c>
      <c r="H1" s="222" t="str">
        <f>Summary!B1&amp;" "&amp;Summary!C1</f>
        <v>Anchor:    pcrm-v12.0-predict</v>
      </c>
      <c r="I1" s="223"/>
      <c r="J1" s="223"/>
      <c r="K1" s="223"/>
      <c r="L1" s="224"/>
      <c r="M1" s="210" t="str">
        <f>Summary!B2&amp;" "&amp;Summary!C2</f>
        <v>Test:    pcrm-v12.0-transform</v>
      </c>
      <c r="N1" s="210"/>
      <c r="O1" s="210"/>
      <c r="P1" s="210"/>
      <c r="Q1" s="210"/>
      <c r="R1" s="230" t="s">
        <v>1315</v>
      </c>
      <c r="S1" s="231"/>
      <c r="T1" s="231"/>
      <c r="U1" s="231"/>
      <c r="V1" s="231"/>
      <c r="W1" s="231"/>
      <c r="X1" s="231"/>
      <c r="Y1" s="231"/>
      <c r="Z1" s="231"/>
      <c r="AA1" s="231"/>
      <c r="AB1" s="232"/>
    </row>
    <row r="2" spans="1:28" ht="15.95" customHeight="1">
      <c r="A2" s="82"/>
      <c r="B2" s="87" t="s">
        <v>1228</v>
      </c>
      <c r="C2" s="83" t="s">
        <v>1276</v>
      </c>
      <c r="D2" s="84">
        <f>_xlfn.XMATCH(B2,'C1'!B5:B44)-1+ROW('C1'!B5)</f>
        <v>10</v>
      </c>
      <c r="E2" s="84"/>
      <c r="F2" s="217"/>
      <c r="G2" s="220"/>
      <c r="H2" s="214" t="s">
        <v>1273</v>
      </c>
      <c r="I2" s="215"/>
      <c r="J2" s="204" t="s">
        <v>1290</v>
      </c>
      <c r="K2" s="204"/>
      <c r="L2" s="205"/>
      <c r="M2" s="206" t="s">
        <v>1273</v>
      </c>
      <c r="N2" s="207"/>
      <c r="O2" s="208" t="s">
        <v>1290</v>
      </c>
      <c r="P2" s="208"/>
      <c r="Q2" s="209"/>
      <c r="R2" s="225" t="s">
        <v>1316</v>
      </c>
      <c r="S2" s="226"/>
      <c r="T2" s="227" t="s">
        <v>1314</v>
      </c>
      <c r="U2" s="227"/>
      <c r="V2" s="228"/>
      <c r="W2" s="225" t="s">
        <v>1278</v>
      </c>
      <c r="X2" s="226"/>
      <c r="Y2" s="226"/>
      <c r="Z2" s="226" t="s">
        <v>1279</v>
      </c>
      <c r="AA2" s="226"/>
      <c r="AB2" s="229"/>
    </row>
    <row r="3" spans="1:28" ht="29.25" thickBot="1">
      <c r="A3" t="s">
        <v>1227</v>
      </c>
      <c r="C3" s="83" t="s">
        <v>1293</v>
      </c>
      <c r="D3" s="9" t="s">
        <v>1300</v>
      </c>
      <c r="E3" s="9"/>
      <c r="F3" s="218"/>
      <c r="G3" s="221"/>
      <c r="H3" s="148" t="s">
        <v>1291</v>
      </c>
      <c r="I3" s="149" t="s">
        <v>1275</v>
      </c>
      <c r="J3" s="133" t="s">
        <v>1262</v>
      </c>
      <c r="K3" s="133" t="s">
        <v>1263</v>
      </c>
      <c r="L3" s="134" t="s">
        <v>1226</v>
      </c>
      <c r="M3" s="150" t="s">
        <v>1291</v>
      </c>
      <c r="N3" s="151" t="s">
        <v>1275</v>
      </c>
      <c r="O3" s="135" t="s">
        <v>1262</v>
      </c>
      <c r="P3" s="135" t="s">
        <v>1263</v>
      </c>
      <c r="Q3" s="136" t="s">
        <v>1226</v>
      </c>
      <c r="R3" s="152" t="s">
        <v>1312</v>
      </c>
      <c r="S3" s="153" t="s">
        <v>1313</v>
      </c>
      <c r="T3" s="137" t="s">
        <v>1262</v>
      </c>
      <c r="U3" s="137" t="s">
        <v>1263</v>
      </c>
      <c r="V3" s="181" t="s">
        <v>1226</v>
      </c>
      <c r="W3" s="182" t="s">
        <v>1262</v>
      </c>
      <c r="X3" s="137" t="s">
        <v>1263</v>
      </c>
      <c r="Y3" s="137" t="s">
        <v>1226</v>
      </c>
      <c r="Z3" s="137" t="s">
        <v>1262</v>
      </c>
      <c r="AA3" s="137" t="s">
        <v>1263</v>
      </c>
      <c r="AB3" s="138" t="s">
        <v>1226</v>
      </c>
    </row>
    <row r="4" spans="1:28" ht="16.5" thickBot="1">
      <c r="A4" t="s">
        <v>1228</v>
      </c>
      <c r="C4" s="83" t="s">
        <v>1294</v>
      </c>
      <c r="D4" s="9" t="s">
        <v>1292</v>
      </c>
      <c r="E4" s="9"/>
      <c r="F4" s="211" t="str">
        <f>B2</f>
        <v>cinema</v>
      </c>
      <c r="G4" s="154" t="s">
        <v>46</v>
      </c>
      <c r="H4" s="155">
        <f ca="1">IF(INDIRECT($D$3&amp;($D$2))="",NA(),INDIRECT($D$3&amp;($D$2)))</f>
        <v>84266664</v>
      </c>
      <c r="I4" s="156">
        <f ca="1">IF(INDIRECT($D$4&amp;($D$2))="",NA(),INDIRECT($D$4&amp;($D$2)))</f>
        <v>76005464</v>
      </c>
      <c r="J4" s="157">
        <f ca="1">IF(INDIRECT($D$7&amp;($D$2))="",NA(),INDIRECT($D$7&amp;($D$2)))</f>
        <v>45.851892985733997</v>
      </c>
      <c r="K4" s="158">
        <f ca="1">IF(INDIRECT($D$8&amp;($D$2))="",NA(),INDIRECT($D$8&amp;($D$2)))</f>
        <v>50.382913730417997</v>
      </c>
      <c r="L4" s="159">
        <f ca="1">IF(INDIRECT($D$9&amp;($D$2))="",NA(),INDIRECT($D$9&amp;($D$2)))</f>
        <v>0.99782449234600001</v>
      </c>
      <c r="M4" s="155" t="e">
        <f ca="1">IF(INDIRECT($D$5&amp;($D$2))="",NA(),INDIRECT($D$5&amp;($D$2)))</f>
        <v>#N/A</v>
      </c>
      <c r="N4" s="156" t="e">
        <f ca="1">IF(INDIRECT($D$6&amp;($D$2))="",NA(),INDIRECT($D$6&amp;($D$2)))</f>
        <v>#N/A</v>
      </c>
      <c r="O4" s="157" t="e">
        <f ca="1">IF(INDIRECT($D$10&amp;($D$2))="",NA(),INDIRECT($D$10&amp;($D$2)))</f>
        <v>#N/A</v>
      </c>
      <c r="P4" s="158" t="e">
        <f ca="1">IF(INDIRECT($D$11&amp;($D$2))="",NA(),INDIRECT($D$11&amp;($D$2)))</f>
        <v>#N/A</v>
      </c>
      <c r="Q4" s="160" t="e">
        <f ca="1">IF(INDIRECT($D$12&amp;($D$2))="",NA(),INDIRECT($D$12&amp;($D$2)))</f>
        <v>#N/A</v>
      </c>
      <c r="R4" s="161" t="e">
        <f ca="1">M4/H4-1</f>
        <v>#N/A</v>
      </c>
      <c r="S4" s="162" t="e">
        <f ca="1">N4/I4-1</f>
        <v>#N/A</v>
      </c>
      <c r="T4" s="142" t="e">
        <f ca="1">IFERROR(O4-J4,NA())</f>
        <v>#N/A</v>
      </c>
      <c r="U4" s="143" t="e">
        <f t="shared" ref="U4:V8" ca="1" si="0">IFERROR(P4-K4,NA())</f>
        <v>#N/A</v>
      </c>
      <c r="V4" s="141" t="e">
        <f ca="1">IFERROR(Q4-L4,NA())</f>
        <v>#N/A</v>
      </c>
      <c r="W4" s="183" t="e" cm="1">
        <f t="array" aca="1" ref="W4" ca="1">bdRateHermite(H4:H8,J4:J8,M4:M8,O4:O8)</f>
        <v>#VALUE!</v>
      </c>
      <c r="X4" s="163" t="e" cm="1">
        <f t="array" aca="1" ref="X4" ca="1">bdRateHermite(H4:H8,K4:K8,M4:M8,P4:P8)</f>
        <v>#VALUE!</v>
      </c>
      <c r="Y4" s="164" t="e" cm="1">
        <f t="array" aca="1" ref="Y4" ca="1">bdRateHermite(H4:H8,L4:L8,M4:M8,Q4:Q8)</f>
        <v>#VALUE!</v>
      </c>
      <c r="Z4" s="163" t="e" cm="1">
        <f t="array" aca="1" ref="Z4" ca="1">bdRateHermite(I4:I8,J4:J8,N4:N8,O4:O8)</f>
        <v>#VALUE!</v>
      </c>
      <c r="AA4" s="163" t="e" cm="1">
        <f t="array" aca="1" ref="AA4" ca="1">bdRateHermite(I4:I8,K4:K8,N4:N8,P4:P8)</f>
        <v>#VALUE!</v>
      </c>
      <c r="AB4" s="165" t="e" cm="1">
        <f t="array" aca="1" ref="AB4" ca="1">bdRateHermite(I4:I8,L4:L8,N4:N8,Q4:Q8)</f>
        <v>#VALUE!</v>
      </c>
    </row>
    <row r="5" spans="1:28" ht="15.75">
      <c r="A5" t="s">
        <v>1244</v>
      </c>
      <c r="C5" s="83" t="s">
        <v>1295</v>
      </c>
      <c r="D5" s="9" t="s">
        <v>1301</v>
      </c>
      <c r="E5" s="9"/>
      <c r="F5" s="212"/>
      <c r="G5" s="154" t="s">
        <v>47</v>
      </c>
      <c r="H5" s="166">
        <f ca="1">IF(INDIRECT($D$3&amp;($D$2+1))="",NA(),INDIRECT($D$3&amp;($D$2+1)))</f>
        <v>106491576</v>
      </c>
      <c r="I5" s="156">
        <f ca="1">IF(INDIRECT($D$4&amp;($D$2+1))="",NA(),INDIRECT($D$4&amp;($D$2+1)))</f>
        <v>98230392</v>
      </c>
      <c r="J5" s="167">
        <f ca="1">IF(INDIRECT($D$7&amp;($D$2+1))="",NA(),INDIRECT($D$7&amp;($D$2+1)))</f>
        <v>50.219854395524997</v>
      </c>
      <c r="K5" s="168">
        <f ca="1">IF(INDIRECT($D$8&amp;($D$2+1))="",NA(),INDIRECT($D$8&amp;($D$2+1)))</f>
        <v>54.440974162023998</v>
      </c>
      <c r="L5" s="159">
        <f ca="1">IF(INDIRECT($D$9&amp;($D$2+1))="",NA(),INDIRECT($D$9&amp;($D$2+1)))</f>
        <v>0.99859388370199997</v>
      </c>
      <c r="M5" s="166" t="e">
        <f ca="1">IF(INDIRECT($D$5&amp;($D$2+1))="",NA(),INDIRECT($D$5&amp;($D$2+1)))</f>
        <v>#N/A</v>
      </c>
      <c r="N5" s="156" t="e">
        <f ca="1">IF(INDIRECT($D$6&amp;($D$2+1))="",NA(),INDIRECT($D$6&amp;($D$2+1)))</f>
        <v>#N/A</v>
      </c>
      <c r="O5" s="167" t="e">
        <f ca="1">IF(INDIRECT($D$10&amp;($D$2+1))="",NA(),INDIRECT($D$10&amp;($D$2+1)))</f>
        <v>#N/A</v>
      </c>
      <c r="P5" s="168" t="e">
        <f ca="1">IF(INDIRECT($D$11&amp;($D$2+1))="",NA(),INDIRECT($D$11&amp;($D$2+1)))</f>
        <v>#N/A</v>
      </c>
      <c r="Q5" s="160" t="e">
        <f ca="1">IF(INDIRECT($D$12&amp;($D$2+1))="",NA(),INDIRECT($D$12&amp;($D$2+1)))</f>
        <v>#N/A</v>
      </c>
      <c r="R5" s="169" t="e">
        <f t="shared" ref="R5:S8" ca="1" si="1">M5/H5-1</f>
        <v>#N/A</v>
      </c>
      <c r="S5" s="170" t="e">
        <f t="shared" ca="1" si="1"/>
        <v>#N/A</v>
      </c>
      <c r="T5" s="144" t="e">
        <f t="shared" ref="T5:T8" ca="1" si="2">IFERROR(O5-J5,NA())</f>
        <v>#N/A</v>
      </c>
      <c r="U5" s="145" t="e">
        <f t="shared" ca="1" si="0"/>
        <v>#N/A</v>
      </c>
      <c r="V5" s="139" t="e">
        <f t="shared" ca="1" si="0"/>
        <v>#N/A</v>
      </c>
      <c r="W5" s="18"/>
    </row>
    <row r="6" spans="1:28" ht="15.75">
      <c r="A6" t="s">
        <v>1245</v>
      </c>
      <c r="C6" s="83" t="s">
        <v>1296</v>
      </c>
      <c r="D6" s="9" t="s">
        <v>1299</v>
      </c>
      <c r="E6" s="9"/>
      <c r="F6" s="212"/>
      <c r="G6" s="154" t="s">
        <v>48</v>
      </c>
      <c r="H6" s="166">
        <f ca="1">IF(INDIRECT($D$3&amp;($D$2+2))="",NA(),INDIRECT($D$3&amp;($D$2+2)))</f>
        <v>129190712</v>
      </c>
      <c r="I6" s="156">
        <f ca="1">IF(INDIRECT($D$4&amp;($D$2+2))="",NA(),INDIRECT($D$4&amp;($D$2+2)))</f>
        <v>120929568</v>
      </c>
      <c r="J6" s="167">
        <f ca="1">IF(INDIRECT($D$7&amp;($D$2+2))="",NA(),INDIRECT($D$7&amp;($D$2+2)))</f>
        <v>52.161300304370002</v>
      </c>
      <c r="K6" s="168">
        <f ca="1">IF(INDIRECT($D$8&amp;($D$2+2))="",NA(),INDIRECT($D$8&amp;($D$2+2)))</f>
        <v>56.245320505138999</v>
      </c>
      <c r="L6" s="159">
        <f ca="1">IF(INDIRECT($D$9&amp;($D$2+2))="",NA(),INDIRECT($D$9&amp;($D$2+2)))</f>
        <v>0.99884772958199997</v>
      </c>
      <c r="M6" s="166" t="e">
        <f ca="1">IF(INDIRECT($D$5&amp;($D$2+2))="",NA(),INDIRECT($D$5&amp;($D$2+2)))</f>
        <v>#N/A</v>
      </c>
      <c r="N6" s="156" t="e">
        <f ca="1">IF(INDIRECT($D$6&amp;($D$2+2))="",NA(),INDIRECT($D$6&amp;($D$2+2)))</f>
        <v>#N/A</v>
      </c>
      <c r="O6" s="167" t="e">
        <f ca="1">IF(INDIRECT($D$10&amp;($D$2+2))="",NA(),INDIRECT($D$10&amp;($D$2+2)))</f>
        <v>#N/A</v>
      </c>
      <c r="P6" s="168" t="e">
        <f ca="1">IF(INDIRECT($D$11&amp;($D$2+2))="",NA(),INDIRECT($D$11&amp;($D$2+2)))</f>
        <v>#N/A</v>
      </c>
      <c r="Q6" s="160" t="e">
        <f ca="1">IF(INDIRECT($D$12&amp;($D$2+2))="",NA(),INDIRECT($D$12&amp;($D$2+2)))</f>
        <v>#N/A</v>
      </c>
      <c r="R6" s="169" t="e">
        <f t="shared" ca="1" si="1"/>
        <v>#N/A</v>
      </c>
      <c r="S6" s="170" t="e">
        <f t="shared" ca="1" si="1"/>
        <v>#N/A</v>
      </c>
      <c r="T6" s="144" t="e">
        <f t="shared" ca="1" si="2"/>
        <v>#N/A</v>
      </c>
      <c r="U6" s="145" t="e">
        <f t="shared" ca="1" si="0"/>
        <v>#N/A</v>
      </c>
      <c r="V6" s="139" t="e">
        <f t="shared" ca="1" si="0"/>
        <v>#N/A</v>
      </c>
      <c r="W6" s="18"/>
    </row>
    <row r="7" spans="1:28" ht="15.75">
      <c r="A7" t="s">
        <v>1246</v>
      </c>
      <c r="C7" s="83" t="s">
        <v>1303</v>
      </c>
      <c r="D7" s="9" t="s">
        <v>1302</v>
      </c>
      <c r="E7" s="9"/>
      <c r="F7" s="212"/>
      <c r="G7" s="154" t="s">
        <v>49</v>
      </c>
      <c r="H7" s="166">
        <f ca="1">IF(INDIRECT($D$3&amp;($D$2+3))="",NA(),INDIRECT($D$3&amp;($D$2+3)))</f>
        <v>154661432</v>
      </c>
      <c r="I7" s="156">
        <f ca="1">IF(INDIRECT($D$4&amp;($D$2+3))="",NA(),INDIRECT($D$4&amp;($D$2+3)))</f>
        <v>146400360</v>
      </c>
      <c r="J7" s="167">
        <f ca="1">IF(INDIRECT($D$7&amp;($D$2+3))="",NA(),INDIRECT($D$7&amp;($D$2+3)))</f>
        <v>54.125624925003997</v>
      </c>
      <c r="K7" s="168">
        <f ca="1">IF(INDIRECT($D$8&amp;($D$2+3))="",NA(),INDIRECT($D$8&amp;($D$2+3)))</f>
        <v>58.106914070586001</v>
      </c>
      <c r="L7" s="159">
        <f ca="1">IF(INDIRECT($D$9&amp;($D$2+3))="",NA(),INDIRECT($D$9&amp;($D$2+3)))</f>
        <v>0.99918198970500005</v>
      </c>
      <c r="M7" s="166" t="e">
        <f ca="1">IF(INDIRECT($D$5&amp;($D$2+3))="",NA(),INDIRECT($D$5&amp;($D$2+3)))</f>
        <v>#N/A</v>
      </c>
      <c r="N7" s="156" t="e">
        <f ca="1">IF(INDIRECT($D$6&amp;($D$2+3))="",NA(),INDIRECT($D$6&amp;($D$2+3)))</f>
        <v>#N/A</v>
      </c>
      <c r="O7" s="167" t="e">
        <f ca="1">IF(INDIRECT($D$10&amp;($D$2+3))="",NA(),INDIRECT($D$10&amp;($D$2+3)))</f>
        <v>#N/A</v>
      </c>
      <c r="P7" s="168" t="e">
        <f ca="1">IF(INDIRECT($D$11&amp;($D$2+3))="",NA(),INDIRECT($D$11&amp;($D$2+3)))</f>
        <v>#N/A</v>
      </c>
      <c r="Q7" s="160" t="e">
        <f ca="1">IF(INDIRECT($D$12&amp;($D$2+3))="",NA(),INDIRECT($D$12&amp;($D$2+3)))</f>
        <v>#N/A</v>
      </c>
      <c r="R7" s="169" t="e">
        <f t="shared" ca="1" si="1"/>
        <v>#N/A</v>
      </c>
      <c r="S7" s="170" t="e">
        <f t="shared" ca="1" si="1"/>
        <v>#N/A</v>
      </c>
      <c r="T7" s="144" t="e">
        <f t="shared" ca="1" si="2"/>
        <v>#N/A</v>
      </c>
      <c r="U7" s="145" t="e">
        <f t="shared" ca="1" si="0"/>
        <v>#N/A</v>
      </c>
      <c r="V7" s="139" t="e">
        <f t="shared" ca="1" si="0"/>
        <v>#N/A</v>
      </c>
      <c r="W7" s="18"/>
    </row>
    <row r="8" spans="1:28" ht="16.5" thickBot="1">
      <c r="A8" t="s">
        <v>1247</v>
      </c>
      <c r="C8" s="83" t="s">
        <v>1304</v>
      </c>
      <c r="D8" s="9" t="s">
        <v>1306</v>
      </c>
      <c r="F8" s="213"/>
      <c r="G8" s="171" t="s">
        <v>1241</v>
      </c>
      <c r="H8" s="172">
        <f ca="1">IF(INDIRECT($D$3&amp;($D$2+4))="",NA(),INDIRECT($D$3&amp;($D$2+4)))</f>
        <v>174308632</v>
      </c>
      <c r="I8" s="173">
        <f ca="1">IF(INDIRECT($D$4&amp;($D$2+4))="",NA(),INDIRECT($D$4&amp;($D$2+4)))</f>
        <v>166047592</v>
      </c>
      <c r="J8" s="174">
        <f ca="1">IF(INDIRECT($D$7&amp;($D$2+4))="",NA(),INDIRECT($D$7&amp;($D$2+4)))</f>
        <v>54.316658858019998</v>
      </c>
      <c r="K8" s="175">
        <f ca="1">IF(INDIRECT($D$8&amp;($D$2+4))="",NA(),INDIRECT($D$8&amp;($D$2+4)))</f>
        <v>58.266802136583003</v>
      </c>
      <c r="L8" s="176">
        <f ca="1">IF(INDIRECT($D$9&amp;($D$2+4))="",NA(),INDIRECT($D$9&amp;($D$2+4)))</f>
        <v>0.99922174590199997</v>
      </c>
      <c r="M8" s="172" t="e">
        <f ca="1">IF(INDIRECT($D$5&amp;($D$2+4))="",NA(),INDIRECT($D$5&amp;($D$2+4)))</f>
        <v>#N/A</v>
      </c>
      <c r="N8" s="173" t="e">
        <f ca="1">IF(INDIRECT($D$6&amp;($D$2+4))="",NA(),INDIRECT($D$6&amp;($D$2+4)))</f>
        <v>#N/A</v>
      </c>
      <c r="O8" s="174" t="e">
        <f ca="1">IF(INDIRECT($D$10&amp;($D$2+4))="",NA(),INDIRECT($D$10&amp;($D$2+4)))</f>
        <v>#N/A</v>
      </c>
      <c r="P8" s="175" t="e">
        <f ca="1">IF(INDIRECT($D$11&amp;($D$2+4))="",NA(),INDIRECT($D$11&amp;($D$2+4)))</f>
        <v>#N/A</v>
      </c>
      <c r="Q8" s="177" t="e">
        <f ca="1">IF(INDIRECT($D$12&amp;($D$2+4))="",NA(),INDIRECT($D$12&amp;($D$2+4)))</f>
        <v>#N/A</v>
      </c>
      <c r="R8" s="178" t="e">
        <f t="shared" ca="1" si="1"/>
        <v>#N/A</v>
      </c>
      <c r="S8" s="179" t="e">
        <f t="shared" ca="1" si="1"/>
        <v>#N/A</v>
      </c>
      <c r="T8" s="146" t="e">
        <f t="shared" ca="1" si="2"/>
        <v>#N/A</v>
      </c>
      <c r="U8" s="147" t="e">
        <f t="shared" ca="1" si="0"/>
        <v>#N/A</v>
      </c>
      <c r="V8" s="140" t="e">
        <f t="shared" ca="1" si="0"/>
        <v>#N/A</v>
      </c>
      <c r="W8" s="180"/>
    </row>
    <row r="9" spans="1:28" ht="15.75">
      <c r="A9" t="s">
        <v>1249</v>
      </c>
      <c r="C9" s="83" t="s">
        <v>1305</v>
      </c>
      <c r="D9" s="9" t="s">
        <v>1297</v>
      </c>
    </row>
    <row r="10" spans="1:28" ht="15.75">
      <c r="A10" t="s">
        <v>1248</v>
      </c>
      <c r="C10" s="83" t="s">
        <v>1307</v>
      </c>
      <c r="D10" s="9" t="s">
        <v>1310</v>
      </c>
    </row>
    <row r="11" spans="1:28" ht="15.75">
      <c r="C11" s="83" t="s">
        <v>1308</v>
      </c>
      <c r="D11" s="9" t="s">
        <v>1311</v>
      </c>
    </row>
    <row r="12" spans="1:28" ht="15.75">
      <c r="C12" s="83" t="s">
        <v>1309</v>
      </c>
      <c r="D12" s="9" t="s">
        <v>1298</v>
      </c>
    </row>
  </sheetData>
  <mergeCells count="15">
    <mergeCell ref="R2:S2"/>
    <mergeCell ref="T2:V2"/>
    <mergeCell ref="W2:Y2"/>
    <mergeCell ref="Z2:AB2"/>
    <mergeCell ref="R1:AB1"/>
    <mergeCell ref="F4:F8"/>
    <mergeCell ref="H2:I2"/>
    <mergeCell ref="F1:F3"/>
    <mergeCell ref="G1:G3"/>
    <mergeCell ref="H1:L1"/>
    <mergeCell ref="C1:D1"/>
    <mergeCell ref="J2:L2"/>
    <mergeCell ref="M2:N2"/>
    <mergeCell ref="O2:Q2"/>
    <mergeCell ref="M1:Q1"/>
  </mergeCells>
  <phoneticPr fontId="2" type="noConversion"/>
  <conditionalFormatting sqref="R4:S8">
    <cfRule type="cellIs" dxfId="113" priority="17" operator="greaterThan">
      <formula>0.03</formula>
    </cfRule>
    <cfRule type="cellIs" dxfId="112" priority="18" stopIfTrue="1" operator="lessThan">
      <formula>-0.03</formula>
    </cfRule>
  </conditionalFormatting>
  <conditionalFormatting sqref="T4:V8">
    <cfRule type="cellIs" dxfId="111" priority="13" stopIfTrue="1" operator="lessThan">
      <formula>-0.01</formula>
    </cfRule>
    <cfRule type="cellIs" dxfId="110" priority="14" stopIfTrue="1" operator="greaterThan">
      <formula>0.01</formula>
    </cfRule>
  </conditionalFormatting>
  <conditionalFormatting sqref="W8">
    <cfRule type="cellIs" dxfId="109" priority="3" operator="lessThan">
      <formula>-0.03</formula>
    </cfRule>
    <cfRule type="cellIs" dxfId="108" priority="4" stopIfTrue="1" operator="greaterThan">
      <formula>0.03</formula>
    </cfRule>
  </conditionalFormatting>
  <conditionalFormatting sqref="W4:AB4">
    <cfRule type="cellIs" dxfId="107" priority="1" operator="greaterThan">
      <formula>0.03</formula>
    </cfRule>
    <cfRule type="cellIs" dxfId="106" priority="2" stopIfTrue="1" operator="lessThan">
      <formula>-0.03</formula>
    </cfRule>
  </conditionalFormatting>
  <dataValidations count="2">
    <dataValidation type="list" showInputMessage="1" showErrorMessage="1" sqref="B2" xr:uid="{92AF57AD-6F5E-47FC-8912-703BF503A9F4}">
      <formula1>$A$3:$A$20</formula1>
    </dataValidation>
    <dataValidation type="list" allowBlank="1" showInputMessage="1" showErrorMessage="1" sqref="B8 B5" xr:uid="{7CEB952C-85E7-4D7B-A10A-5E7B2BB7790A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outlinePr summaryBelow="0"/>
  </sheetPr>
  <dimension ref="A1:BL54"/>
  <sheetViews>
    <sheetView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L19" sqref="L19"/>
    </sheetView>
  </sheetViews>
  <sheetFormatPr defaultColWidth="8.85546875" defaultRowHeight="15" outlineLevelRow="1"/>
  <cols>
    <col min="1" max="1" width="10.140625" customWidth="1"/>
    <col min="2" max="2" width="10.85546875" customWidth="1"/>
    <col min="3" max="3" width="8.85546875" customWidth="1"/>
    <col min="4" max="4" width="11.5703125" style="21" customWidth="1"/>
    <col min="5" max="5" width="11.5703125" style="17" customWidth="1"/>
    <col min="6" max="6" width="13.5703125" style="17" customWidth="1"/>
    <col min="7" max="7" width="11.85546875" style="17" customWidth="1"/>
    <col min="8" max="8" width="13.5703125" style="17" customWidth="1"/>
    <col min="9" max="12" width="11.5703125" style="17" customWidth="1"/>
    <col min="13" max="13" width="10.5703125" style="17" customWidth="1"/>
    <col min="14" max="15" width="11.140625" style="17" customWidth="1"/>
    <col min="16" max="18" width="11.42578125" customWidth="1"/>
    <col min="19" max="24" width="9.140625" customWidth="1"/>
    <col min="25" max="25" width="11.5703125" style="19" customWidth="1"/>
    <col min="26" max="26" width="13.5703125" style="19" customWidth="1"/>
    <col min="27" max="27" width="12.140625" style="19" customWidth="1"/>
    <col min="28" max="28" width="13.5703125" style="19" customWidth="1"/>
    <col min="29" max="32" width="11.5703125" style="19" customWidth="1"/>
    <col min="33" max="35" width="11.140625" style="19" customWidth="1"/>
    <col min="36" max="38" width="11.42578125" customWidth="1"/>
    <col min="39" max="44" width="9.140625" customWidth="1"/>
    <col min="45" max="45" width="12" style="13" customWidth="1"/>
    <col min="46" max="48" width="12" style="4" customWidth="1"/>
    <col min="49" max="50" width="12" customWidth="1"/>
    <col min="51" max="51" width="11.5703125" customWidth="1"/>
    <col min="52" max="52" width="13.5703125" customWidth="1"/>
    <col min="53" max="53" width="11.5703125" customWidth="1"/>
    <col min="54" max="54" width="13.5703125" customWidth="1"/>
    <col min="55" max="58" width="10.5703125" customWidth="1"/>
    <col min="59" max="61" width="9.5703125" customWidth="1"/>
    <col min="62" max="64" width="12" customWidth="1"/>
  </cols>
  <sheetData>
    <row r="1" spans="1:64" ht="14.45" customHeight="1" thickBot="1">
      <c r="A1" s="269" t="s">
        <v>1267</v>
      </c>
      <c r="B1" s="269"/>
      <c r="C1" s="269"/>
      <c r="D1" s="270"/>
      <c r="E1" s="271" t="s">
        <v>1238</v>
      </c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3"/>
      <c r="Y1" s="274" t="s">
        <v>1239</v>
      </c>
      <c r="Z1" s="275"/>
      <c r="AA1" s="275"/>
      <c r="AB1" s="275"/>
      <c r="AC1" s="275"/>
      <c r="AD1" s="275"/>
      <c r="AE1" s="275"/>
      <c r="AF1" s="275"/>
      <c r="AG1" s="275"/>
      <c r="AH1" s="275"/>
      <c r="AI1" s="275"/>
      <c r="AJ1" s="275"/>
      <c r="AK1" s="275"/>
      <c r="AL1" s="275"/>
      <c r="AM1" s="275"/>
      <c r="AN1" s="275"/>
      <c r="AO1" s="275"/>
      <c r="AP1" s="275"/>
      <c r="AQ1" s="275"/>
      <c r="AR1" s="276"/>
      <c r="AS1" s="263" t="s">
        <v>1264</v>
      </c>
      <c r="AT1" s="264"/>
      <c r="AU1" s="264"/>
      <c r="AV1" s="264"/>
      <c r="AW1" s="264"/>
      <c r="AX1" s="265"/>
      <c r="AY1" s="284" t="s">
        <v>1270</v>
      </c>
      <c r="AZ1" s="285"/>
      <c r="BA1" s="285"/>
      <c r="BB1" s="285"/>
      <c r="BC1" s="285"/>
      <c r="BD1" s="285"/>
      <c r="BE1" s="285"/>
      <c r="BF1" s="285"/>
      <c r="BG1" s="285"/>
      <c r="BH1" s="285"/>
      <c r="BI1" s="285"/>
      <c r="BJ1" s="285"/>
      <c r="BK1" s="285"/>
      <c r="BL1" s="286"/>
    </row>
    <row r="2" spans="1:64" ht="29.45" customHeight="1">
      <c r="A2" s="235" t="s">
        <v>1250</v>
      </c>
      <c r="B2" s="252" t="s">
        <v>22</v>
      </c>
      <c r="C2" s="252" t="s">
        <v>24</v>
      </c>
      <c r="D2" s="258" t="s">
        <v>1243</v>
      </c>
      <c r="E2" s="254" t="s">
        <v>1242</v>
      </c>
      <c r="F2" s="240" t="s">
        <v>1273</v>
      </c>
      <c r="G2" s="241"/>
      <c r="H2" s="241"/>
      <c r="I2" s="241"/>
      <c r="J2" s="241"/>
      <c r="K2" s="241"/>
      <c r="L2" s="241"/>
      <c r="M2" s="241"/>
      <c r="N2" s="241"/>
      <c r="O2" s="242"/>
      <c r="P2" s="248" t="s">
        <v>1290</v>
      </c>
      <c r="Q2" s="248"/>
      <c r="R2" s="248"/>
      <c r="S2" s="248" t="s">
        <v>560</v>
      </c>
      <c r="T2" s="248" t="s">
        <v>561</v>
      </c>
      <c r="U2" s="248" t="s">
        <v>925</v>
      </c>
      <c r="V2" s="248" t="s">
        <v>926</v>
      </c>
      <c r="W2" s="248" t="s">
        <v>1229</v>
      </c>
      <c r="X2" s="250" t="s">
        <v>1230</v>
      </c>
      <c r="Y2" s="246" t="s">
        <v>1242</v>
      </c>
      <c r="Z2" s="243" t="s">
        <v>1273</v>
      </c>
      <c r="AA2" s="244"/>
      <c r="AB2" s="244"/>
      <c r="AC2" s="244"/>
      <c r="AD2" s="244"/>
      <c r="AE2" s="244"/>
      <c r="AF2" s="244"/>
      <c r="AG2" s="244"/>
      <c r="AH2" s="244"/>
      <c r="AI2" s="245"/>
      <c r="AJ2" s="277" t="s">
        <v>1290</v>
      </c>
      <c r="AK2" s="277"/>
      <c r="AL2" s="277"/>
      <c r="AM2" s="256" t="s">
        <v>558</v>
      </c>
      <c r="AN2" s="256" t="s">
        <v>559</v>
      </c>
      <c r="AO2" s="256" t="s">
        <v>925</v>
      </c>
      <c r="AP2" s="256" t="s">
        <v>926</v>
      </c>
      <c r="AQ2" s="256" t="s">
        <v>1229</v>
      </c>
      <c r="AR2" s="233" t="s">
        <v>1230</v>
      </c>
      <c r="AS2" s="266" t="s">
        <v>691</v>
      </c>
      <c r="AT2" s="267"/>
      <c r="AU2" s="268"/>
      <c r="AV2" s="266" t="s">
        <v>1266</v>
      </c>
      <c r="AW2" s="267"/>
      <c r="AX2" s="268"/>
      <c r="AY2" s="278" t="s">
        <v>1271</v>
      </c>
      <c r="AZ2" s="280" t="s">
        <v>1268</v>
      </c>
      <c r="BA2" s="280"/>
      <c r="BB2" s="280"/>
      <c r="BC2" s="280"/>
      <c r="BD2" s="280"/>
      <c r="BE2" s="280"/>
      <c r="BF2" s="280"/>
      <c r="BG2" s="280"/>
      <c r="BH2" s="280"/>
      <c r="BI2" s="281"/>
      <c r="BJ2" s="282" t="s">
        <v>1269</v>
      </c>
      <c r="BK2" s="282"/>
      <c r="BL2" s="283"/>
    </row>
    <row r="3" spans="1:64" s="10" customFormat="1" ht="29.45" customHeight="1" thickBot="1">
      <c r="A3" s="236"/>
      <c r="B3" s="253"/>
      <c r="C3" s="253"/>
      <c r="D3" s="259"/>
      <c r="E3" s="255"/>
      <c r="F3" s="24" t="s">
        <v>26</v>
      </c>
      <c r="G3" s="24" t="s">
        <v>27</v>
      </c>
      <c r="H3" s="24" t="s">
        <v>1282</v>
      </c>
      <c r="I3" s="24" t="s">
        <v>1231</v>
      </c>
      <c r="J3" s="24" t="s">
        <v>1232</v>
      </c>
      <c r="K3" s="24" t="s">
        <v>1233</v>
      </c>
      <c r="L3" s="24" t="s">
        <v>1234</v>
      </c>
      <c r="M3" s="24" t="s">
        <v>1237</v>
      </c>
      <c r="N3" s="24" t="s">
        <v>1236</v>
      </c>
      <c r="O3" s="24" t="s">
        <v>1235</v>
      </c>
      <c r="P3" s="25" t="s">
        <v>1262</v>
      </c>
      <c r="Q3" s="25" t="s">
        <v>1263</v>
      </c>
      <c r="R3" s="25" t="s">
        <v>1226</v>
      </c>
      <c r="S3" s="249"/>
      <c r="T3" s="249"/>
      <c r="U3" s="249"/>
      <c r="V3" s="249"/>
      <c r="W3" s="249"/>
      <c r="X3" s="251"/>
      <c r="Y3" s="247"/>
      <c r="Z3" s="43" t="s">
        <v>26</v>
      </c>
      <c r="AA3" s="43" t="s">
        <v>27</v>
      </c>
      <c r="AB3" s="43" t="s">
        <v>1223</v>
      </c>
      <c r="AC3" s="43" t="s">
        <v>1231</v>
      </c>
      <c r="AD3" s="43" t="s">
        <v>1232</v>
      </c>
      <c r="AE3" s="43" t="s">
        <v>1233</v>
      </c>
      <c r="AF3" s="43" t="s">
        <v>1234</v>
      </c>
      <c r="AG3" s="43" t="s">
        <v>1237</v>
      </c>
      <c r="AH3" s="43" t="s">
        <v>1236</v>
      </c>
      <c r="AI3" s="43" t="s">
        <v>1235</v>
      </c>
      <c r="AJ3" s="44" t="s">
        <v>1224</v>
      </c>
      <c r="AK3" s="44" t="s">
        <v>1225</v>
      </c>
      <c r="AL3" s="44" t="s">
        <v>1226</v>
      </c>
      <c r="AM3" s="257"/>
      <c r="AN3" s="257"/>
      <c r="AO3" s="257"/>
      <c r="AP3" s="257"/>
      <c r="AQ3" s="257"/>
      <c r="AR3" s="234"/>
      <c r="AS3" s="59" t="s">
        <v>1262</v>
      </c>
      <c r="AT3" s="60" t="s">
        <v>1225</v>
      </c>
      <c r="AU3" s="61" t="s">
        <v>1226</v>
      </c>
      <c r="AV3" s="59" t="s">
        <v>1262</v>
      </c>
      <c r="AW3" s="60" t="s">
        <v>1225</v>
      </c>
      <c r="AX3" s="61" t="s">
        <v>1226</v>
      </c>
      <c r="AY3" s="279"/>
      <c r="AZ3" s="66" t="s">
        <v>26</v>
      </c>
      <c r="BA3" s="63" t="s">
        <v>27</v>
      </c>
      <c r="BB3" s="63" t="s">
        <v>1223</v>
      </c>
      <c r="BC3" s="63" t="s">
        <v>1231</v>
      </c>
      <c r="BD3" s="63" t="s">
        <v>1232</v>
      </c>
      <c r="BE3" s="63" t="s">
        <v>1233</v>
      </c>
      <c r="BF3" s="63" t="s">
        <v>1234</v>
      </c>
      <c r="BG3" s="63" t="s">
        <v>1237</v>
      </c>
      <c r="BH3" s="63" t="s">
        <v>1236</v>
      </c>
      <c r="BI3" s="63" t="s">
        <v>1235</v>
      </c>
      <c r="BJ3" s="64" t="s">
        <v>1224</v>
      </c>
      <c r="BK3" s="64" t="s">
        <v>1225</v>
      </c>
      <c r="BL3" s="65" t="s">
        <v>1226</v>
      </c>
    </row>
    <row r="4" spans="1:64" ht="29.45" hidden="1" customHeight="1" thickBot="1">
      <c r="A4" s="27" t="s">
        <v>23</v>
      </c>
      <c r="B4" s="26"/>
      <c r="C4" s="15" t="s">
        <v>25</v>
      </c>
      <c r="D4" s="31" t="s">
        <v>25</v>
      </c>
      <c r="E4" s="32" t="s">
        <v>28</v>
      </c>
      <c r="F4" s="16" t="s">
        <v>29</v>
      </c>
      <c r="G4" s="16" t="s">
        <v>30</v>
      </c>
      <c r="H4" s="16" t="s">
        <v>31</v>
      </c>
      <c r="I4" s="16"/>
      <c r="J4" s="16"/>
      <c r="K4" s="16"/>
      <c r="L4" s="16"/>
      <c r="M4" s="16"/>
      <c r="N4" s="16"/>
      <c r="O4" s="16"/>
      <c r="P4" s="15" t="s">
        <v>32</v>
      </c>
      <c r="Q4" s="15" t="s">
        <v>33</v>
      </c>
      <c r="R4" s="15" t="s">
        <v>34</v>
      </c>
      <c r="S4" s="15" t="s">
        <v>35</v>
      </c>
      <c r="T4" s="15" t="s">
        <v>36</v>
      </c>
      <c r="U4" s="15" t="s">
        <v>927</v>
      </c>
      <c r="V4" s="15" t="s">
        <v>928</v>
      </c>
      <c r="W4" s="15" t="s">
        <v>929</v>
      </c>
      <c r="X4" s="33" t="s">
        <v>930</v>
      </c>
      <c r="Y4" s="41" t="s">
        <v>37</v>
      </c>
      <c r="Z4" s="20" t="s">
        <v>29</v>
      </c>
      <c r="AA4" s="20" t="s">
        <v>30</v>
      </c>
      <c r="AB4" s="20" t="s">
        <v>31</v>
      </c>
      <c r="AC4" s="20"/>
      <c r="AD4" s="20"/>
      <c r="AE4" s="20"/>
      <c r="AF4" s="20"/>
      <c r="AG4" s="20"/>
      <c r="AH4" s="20"/>
      <c r="AI4" s="20"/>
      <c r="AJ4" s="15" t="s">
        <v>38</v>
      </c>
      <c r="AK4" s="15" t="s">
        <v>39</v>
      </c>
      <c r="AL4" s="15" t="s">
        <v>40</v>
      </c>
      <c r="AM4" s="7" t="s">
        <v>41</v>
      </c>
      <c r="AN4" s="7" t="s">
        <v>42</v>
      </c>
      <c r="AO4" s="7" t="s">
        <v>931</v>
      </c>
      <c r="AP4" s="7" t="s">
        <v>932</v>
      </c>
      <c r="AQ4" s="7" t="s">
        <v>933</v>
      </c>
      <c r="AR4" s="42" t="s">
        <v>934</v>
      </c>
      <c r="AS4" s="57" t="s">
        <v>43</v>
      </c>
      <c r="AT4" s="11" t="s">
        <v>44</v>
      </c>
      <c r="AU4" s="58" t="s">
        <v>45</v>
      </c>
      <c r="AV4" s="51"/>
      <c r="AX4" s="52"/>
      <c r="AY4" s="62"/>
      <c r="BE4" s="52"/>
      <c r="BL4" s="52"/>
    </row>
    <row r="5" spans="1:64">
      <c r="A5" s="237" t="s">
        <v>1251</v>
      </c>
      <c r="B5" s="261" t="s">
        <v>1261</v>
      </c>
      <c r="C5" s="28" t="s">
        <v>46</v>
      </c>
      <c r="D5" s="45">
        <v>567724</v>
      </c>
      <c r="E5" s="34">
        <v>567724</v>
      </c>
      <c r="F5" s="67">
        <v>114967480</v>
      </c>
      <c r="G5" s="67">
        <v>10667080</v>
      </c>
      <c r="H5" s="67">
        <v>104291944</v>
      </c>
      <c r="I5" s="67">
        <v>9219536</v>
      </c>
      <c r="J5" s="67">
        <v>13973168</v>
      </c>
      <c r="K5" s="67">
        <v>24897656</v>
      </c>
      <c r="L5" s="67">
        <v>25811432</v>
      </c>
      <c r="M5" s="67">
        <v>3683880</v>
      </c>
      <c r="N5" s="67">
        <v>11452912</v>
      </c>
      <c r="O5" s="67">
        <v>15253360</v>
      </c>
      <c r="P5" s="68">
        <v>46.770053529076002</v>
      </c>
      <c r="Q5" s="68">
        <v>51.304334080236998</v>
      </c>
      <c r="R5" s="69">
        <v>0.99798493750999995</v>
      </c>
      <c r="S5" s="22">
        <v>15.5047</v>
      </c>
      <c r="T5" s="22">
        <v>14.202199999999999</v>
      </c>
      <c r="U5" s="22">
        <v>1.24577</v>
      </c>
      <c r="V5" s="22">
        <v>0.22147500000000001</v>
      </c>
      <c r="W5" s="22">
        <v>13.727600000000001</v>
      </c>
      <c r="X5" s="35">
        <v>13.586399999999999</v>
      </c>
      <c r="Y5" s="34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9"/>
      <c r="AK5" s="69"/>
      <c r="AL5" s="69"/>
      <c r="AM5" s="22"/>
      <c r="AN5" s="22"/>
      <c r="AO5" s="22"/>
      <c r="AP5" s="22"/>
      <c r="AQ5" s="22"/>
      <c r="AR5" s="35"/>
      <c r="AS5" s="53" cm="1">
        <f t="array" ref="AS5">IFERROR(bdRateHermite(F5:F9, P5:P9, Z5:Z9, AJ5:AJ9), "")</f>
        <v>0</v>
      </c>
      <c r="AT5" s="110" cm="1">
        <f t="array" ref="AT5">bdRateHermite(F5:F9,Q5:Q9,Z5:Z9,AK5:AK9)</f>
        <v>0</v>
      </c>
      <c r="AU5" s="111" cm="1">
        <f t="array" ref="AU5">bdRateHermite(F5:F9,R5:R9,Z5:Z9,AL5:AL9)</f>
        <v>0</v>
      </c>
      <c r="AV5" s="53" cm="1">
        <f t="array" ref="AV5">bdRateHermite(H5:H9,P5:P9,AB5:AB9,AJ5:AJ9)</f>
        <v>0</v>
      </c>
      <c r="AW5" s="110" cm="1">
        <f t="array" ref="AW5">bdRateHermite(H5:H9,Q5:Q9,AB5:AB9,AK5:AK9)</f>
        <v>0</v>
      </c>
      <c r="AX5" s="111" cm="1">
        <f t="array" ref="AX5">bdRateHermite(H5:H9,R5:R9,AB5:AB9,AL5:AL9)</f>
        <v>0</v>
      </c>
      <c r="AY5" s="34">
        <f t="shared" ref="AY5:AY44" si="0">E5-Y5</f>
        <v>567724</v>
      </c>
      <c r="AZ5" s="67">
        <f t="shared" ref="AZ5:BL5" si="1">F5-Z5</f>
        <v>114967480</v>
      </c>
      <c r="BA5" s="67">
        <f t="shared" si="1"/>
        <v>10667080</v>
      </c>
      <c r="BB5" s="67">
        <f t="shared" si="1"/>
        <v>104291944</v>
      </c>
      <c r="BC5" s="67">
        <f t="shared" si="1"/>
        <v>9219536</v>
      </c>
      <c r="BD5" s="67">
        <f t="shared" si="1"/>
        <v>13973168</v>
      </c>
      <c r="BE5" s="67">
        <f t="shared" si="1"/>
        <v>24897656</v>
      </c>
      <c r="BF5" s="67">
        <f t="shared" si="1"/>
        <v>25811432</v>
      </c>
      <c r="BG5" s="67">
        <f t="shared" si="1"/>
        <v>3683880</v>
      </c>
      <c r="BH5" s="67">
        <f t="shared" si="1"/>
        <v>11452912</v>
      </c>
      <c r="BI5" s="67">
        <f t="shared" si="1"/>
        <v>15253360</v>
      </c>
      <c r="BJ5" s="76">
        <f>P5-AJ5</f>
        <v>46.770053529076002</v>
      </c>
      <c r="BK5" s="76">
        <f t="shared" si="1"/>
        <v>51.304334080236998</v>
      </c>
      <c r="BL5" s="77">
        <f t="shared" si="1"/>
        <v>0.99798493750999995</v>
      </c>
    </row>
    <row r="6" spans="1:64" outlineLevel="1">
      <c r="A6" s="238"/>
      <c r="B6" s="261"/>
      <c r="C6" s="29" t="s">
        <v>47</v>
      </c>
      <c r="D6" s="46">
        <v>567724</v>
      </c>
      <c r="E6" s="36">
        <v>567724</v>
      </c>
      <c r="F6" s="70">
        <v>145052992</v>
      </c>
      <c r="G6" s="70">
        <v>10667080</v>
      </c>
      <c r="H6" s="70">
        <v>134377472</v>
      </c>
      <c r="I6" s="70">
        <v>10960912</v>
      </c>
      <c r="J6" s="70">
        <v>18812728</v>
      </c>
      <c r="K6" s="70">
        <v>33050744</v>
      </c>
      <c r="L6" s="70">
        <v>36544000</v>
      </c>
      <c r="M6" s="70">
        <v>4247200</v>
      </c>
      <c r="N6" s="70">
        <v>13201056</v>
      </c>
      <c r="O6" s="70">
        <v>17560832</v>
      </c>
      <c r="P6" s="71">
        <v>51.408435134172002</v>
      </c>
      <c r="Q6" s="71">
        <v>55.589003262109998</v>
      </c>
      <c r="R6" s="72">
        <v>0.99871055262200004</v>
      </c>
      <c r="S6" s="37">
        <v>15.9635</v>
      </c>
      <c r="T6" s="37">
        <v>14.631</v>
      </c>
      <c r="U6" s="37">
        <v>1.2410000000000001</v>
      </c>
      <c r="V6" s="37">
        <v>0.22176999999999999</v>
      </c>
      <c r="W6" s="37">
        <v>14.2057</v>
      </c>
      <c r="X6" s="38">
        <v>13.960599999999999</v>
      </c>
      <c r="Y6" s="36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2"/>
      <c r="AK6" s="72"/>
      <c r="AL6" s="72"/>
      <c r="AM6" s="37"/>
      <c r="AN6" s="37"/>
      <c r="AO6" s="37"/>
      <c r="AP6" s="37"/>
      <c r="AQ6" s="37"/>
      <c r="AR6" s="38"/>
      <c r="AS6" s="54"/>
      <c r="AT6" s="112"/>
      <c r="AU6" s="113"/>
      <c r="AV6" s="54"/>
      <c r="AW6" s="112"/>
      <c r="AX6" s="113"/>
      <c r="AY6" s="36">
        <f t="shared" si="0"/>
        <v>567724</v>
      </c>
      <c r="AZ6" s="70">
        <f t="shared" ref="AZ6:AZ10" si="2">F6-Z6</f>
        <v>145052992</v>
      </c>
      <c r="BA6" s="70">
        <f t="shared" ref="BA6:BA10" si="3">G6-AA6</f>
        <v>10667080</v>
      </c>
      <c r="BB6" s="70">
        <f t="shared" ref="BB6:BB10" si="4">H6-AB6</f>
        <v>134377472</v>
      </c>
      <c r="BC6" s="70">
        <f t="shared" ref="BC6:BC10" si="5">I6-AC6</f>
        <v>10960912</v>
      </c>
      <c r="BD6" s="70">
        <f t="shared" ref="BD6:BD10" si="6">J6-AD6</f>
        <v>18812728</v>
      </c>
      <c r="BE6" s="70">
        <f t="shared" ref="BE6:BE10" si="7">K6-AE6</f>
        <v>33050744</v>
      </c>
      <c r="BF6" s="70">
        <f t="shared" ref="BF6:BF10" si="8">L6-AF6</f>
        <v>36544000</v>
      </c>
      <c r="BG6" s="70">
        <f t="shared" ref="BG6:BG10" si="9">M6-AG6</f>
        <v>4247200</v>
      </c>
      <c r="BH6" s="70">
        <f t="shared" ref="BH6:BH10" si="10">N6-AH6</f>
        <v>13201056</v>
      </c>
      <c r="BI6" s="70">
        <f t="shared" ref="BI6:BI10" si="11">O6-AI6</f>
        <v>17560832</v>
      </c>
      <c r="BJ6" s="78">
        <f t="shared" ref="BJ6:BJ10" si="12">P6-AJ6</f>
        <v>51.408435134172002</v>
      </c>
      <c r="BK6" s="78">
        <f t="shared" ref="BK6:BK10" si="13">Q6-AK6</f>
        <v>55.589003262109998</v>
      </c>
      <c r="BL6" s="79">
        <f t="shared" ref="BL6:BL10" si="14">R6-AL6</f>
        <v>0.99871055262200004</v>
      </c>
    </row>
    <row r="7" spans="1:64" outlineLevel="1">
      <c r="A7" s="238"/>
      <c r="B7" s="261"/>
      <c r="C7" s="29" t="s">
        <v>48</v>
      </c>
      <c r="D7" s="46">
        <v>567724</v>
      </c>
      <c r="E7" s="36">
        <v>567724</v>
      </c>
      <c r="F7" s="70">
        <v>175588408</v>
      </c>
      <c r="G7" s="70">
        <v>10667080</v>
      </c>
      <c r="H7" s="70">
        <v>164912928</v>
      </c>
      <c r="I7" s="70">
        <v>13304512</v>
      </c>
      <c r="J7" s="70">
        <v>29260408</v>
      </c>
      <c r="K7" s="70">
        <v>37327232</v>
      </c>
      <c r="L7" s="70">
        <v>46097440</v>
      </c>
      <c r="M7" s="70">
        <v>4995584</v>
      </c>
      <c r="N7" s="70">
        <v>14569152</v>
      </c>
      <c r="O7" s="70">
        <v>19358600</v>
      </c>
      <c r="P7" s="71">
        <v>53.065424403625002</v>
      </c>
      <c r="Q7" s="71">
        <v>57.214131405913001</v>
      </c>
      <c r="R7" s="72">
        <v>0.99897110077499995</v>
      </c>
      <c r="S7" s="37">
        <v>15.9611</v>
      </c>
      <c r="T7" s="37">
        <v>15.136900000000001</v>
      </c>
      <c r="U7" s="37">
        <v>1.26556</v>
      </c>
      <c r="V7" s="37">
        <v>0.22237399999999999</v>
      </c>
      <c r="W7" s="37">
        <v>14.172499999999999</v>
      </c>
      <c r="X7" s="38">
        <v>14.394500000000001</v>
      </c>
      <c r="Y7" s="36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2"/>
      <c r="AK7" s="72"/>
      <c r="AL7" s="72"/>
      <c r="AM7" s="37"/>
      <c r="AN7" s="37"/>
      <c r="AO7" s="37"/>
      <c r="AP7" s="37"/>
      <c r="AQ7" s="37"/>
      <c r="AR7" s="38"/>
      <c r="AS7" s="54"/>
      <c r="AT7" s="112"/>
      <c r="AU7" s="113"/>
      <c r="AV7" s="54"/>
      <c r="AW7" s="112"/>
      <c r="AX7" s="113"/>
      <c r="AY7" s="36">
        <f t="shared" si="0"/>
        <v>567724</v>
      </c>
      <c r="AZ7" s="70">
        <f t="shared" si="2"/>
        <v>175588408</v>
      </c>
      <c r="BA7" s="70">
        <f t="shared" si="3"/>
        <v>10667080</v>
      </c>
      <c r="BB7" s="70">
        <f t="shared" si="4"/>
        <v>164912928</v>
      </c>
      <c r="BC7" s="70">
        <f t="shared" si="5"/>
        <v>13304512</v>
      </c>
      <c r="BD7" s="70">
        <f t="shared" si="6"/>
        <v>29260408</v>
      </c>
      <c r="BE7" s="70">
        <f t="shared" si="7"/>
        <v>37327232</v>
      </c>
      <c r="BF7" s="70">
        <f t="shared" si="8"/>
        <v>46097440</v>
      </c>
      <c r="BG7" s="70">
        <f t="shared" si="9"/>
        <v>4995584</v>
      </c>
      <c r="BH7" s="70">
        <f t="shared" si="10"/>
        <v>14569152</v>
      </c>
      <c r="BI7" s="70">
        <f t="shared" si="11"/>
        <v>19358600</v>
      </c>
      <c r="BJ7" s="78">
        <f t="shared" si="12"/>
        <v>53.065424403625002</v>
      </c>
      <c r="BK7" s="78">
        <f t="shared" si="13"/>
        <v>57.214131405913001</v>
      </c>
      <c r="BL7" s="79">
        <f t="shared" si="14"/>
        <v>0.99897110077499995</v>
      </c>
    </row>
    <row r="8" spans="1:64" outlineLevel="1">
      <c r="A8" s="238"/>
      <c r="B8" s="261"/>
      <c r="C8" s="29" t="s">
        <v>49</v>
      </c>
      <c r="D8" s="46">
        <v>567724</v>
      </c>
      <c r="E8" s="36">
        <v>567724</v>
      </c>
      <c r="F8" s="70">
        <v>209746728</v>
      </c>
      <c r="G8" s="70">
        <v>10667080</v>
      </c>
      <c r="H8" s="70">
        <v>199071320</v>
      </c>
      <c r="I8" s="70">
        <v>13928728</v>
      </c>
      <c r="J8" s="70">
        <v>29260408</v>
      </c>
      <c r="K8" s="70">
        <v>50413920</v>
      </c>
      <c r="L8" s="70">
        <v>60146896</v>
      </c>
      <c r="M8" s="70">
        <v>5499848</v>
      </c>
      <c r="N8" s="70">
        <v>17121880</v>
      </c>
      <c r="O8" s="70">
        <v>22699640</v>
      </c>
      <c r="P8" s="71">
        <v>55.114795713428997</v>
      </c>
      <c r="Q8" s="71">
        <v>59.121485782919997</v>
      </c>
      <c r="R8" s="72">
        <v>0.999298181959</v>
      </c>
      <c r="S8" s="37">
        <v>16.6661</v>
      </c>
      <c r="T8" s="37">
        <v>15.620200000000001</v>
      </c>
      <c r="U8" s="37">
        <v>1.24047</v>
      </c>
      <c r="V8" s="37">
        <v>0.23252500000000001</v>
      </c>
      <c r="W8" s="37">
        <v>14.901400000000001</v>
      </c>
      <c r="X8" s="38">
        <v>14.8002</v>
      </c>
      <c r="Y8" s="36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2"/>
      <c r="AK8" s="72"/>
      <c r="AL8" s="72"/>
      <c r="AM8" s="37"/>
      <c r="AN8" s="37"/>
      <c r="AO8" s="37"/>
      <c r="AP8" s="37"/>
      <c r="AQ8" s="37"/>
      <c r="AR8" s="38"/>
      <c r="AS8" s="54"/>
      <c r="AT8" s="112"/>
      <c r="AU8" s="113"/>
      <c r="AV8" s="54"/>
      <c r="AW8" s="112"/>
      <c r="AX8" s="113"/>
      <c r="AY8" s="36">
        <f t="shared" si="0"/>
        <v>567724</v>
      </c>
      <c r="AZ8" s="70">
        <f t="shared" si="2"/>
        <v>209746728</v>
      </c>
      <c r="BA8" s="70">
        <f t="shared" si="3"/>
        <v>10667080</v>
      </c>
      <c r="BB8" s="70">
        <f t="shared" si="4"/>
        <v>199071320</v>
      </c>
      <c r="BC8" s="70">
        <f t="shared" si="5"/>
        <v>13928728</v>
      </c>
      <c r="BD8" s="70">
        <f t="shared" si="6"/>
        <v>29260408</v>
      </c>
      <c r="BE8" s="70">
        <f t="shared" si="7"/>
        <v>50413920</v>
      </c>
      <c r="BF8" s="70">
        <f t="shared" si="8"/>
        <v>60146896</v>
      </c>
      <c r="BG8" s="70">
        <f t="shared" si="9"/>
        <v>5499848</v>
      </c>
      <c r="BH8" s="70">
        <f t="shared" si="10"/>
        <v>17121880</v>
      </c>
      <c r="BI8" s="70">
        <f t="shared" si="11"/>
        <v>22699640</v>
      </c>
      <c r="BJ8" s="78">
        <f t="shared" si="12"/>
        <v>55.114795713428997</v>
      </c>
      <c r="BK8" s="78">
        <f t="shared" si="13"/>
        <v>59.121485782919997</v>
      </c>
      <c r="BL8" s="79">
        <f t="shared" si="14"/>
        <v>0.999298181959</v>
      </c>
    </row>
    <row r="9" spans="1:64" ht="15.75" outlineLevel="1" thickBot="1">
      <c r="A9" s="238"/>
      <c r="B9" s="262"/>
      <c r="C9" s="30" t="s">
        <v>50</v>
      </c>
      <c r="D9" s="47">
        <v>567724</v>
      </c>
      <c r="E9" s="39">
        <v>567724</v>
      </c>
      <c r="F9" s="73">
        <v>236034856</v>
      </c>
      <c r="G9" s="73">
        <v>10667080</v>
      </c>
      <c r="H9" s="73">
        <v>225359480</v>
      </c>
      <c r="I9" s="73">
        <v>14673584</v>
      </c>
      <c r="J9" s="73">
        <v>31897368</v>
      </c>
      <c r="K9" s="73">
        <v>59132392</v>
      </c>
      <c r="L9" s="73">
        <v>70890040</v>
      </c>
      <c r="M9" s="73">
        <v>6270760</v>
      </c>
      <c r="N9" s="73">
        <v>18279592</v>
      </c>
      <c r="O9" s="73">
        <v>24215744</v>
      </c>
      <c r="P9" s="74">
        <v>55.112845911333999</v>
      </c>
      <c r="Q9" s="74">
        <v>59.181948924753002</v>
      </c>
      <c r="R9" s="75">
        <v>0.99930977767200002</v>
      </c>
      <c r="S9" s="23">
        <v>17.378799999999998</v>
      </c>
      <c r="T9" s="23">
        <v>16.035</v>
      </c>
      <c r="U9" s="23">
        <v>1.2459899999999999</v>
      </c>
      <c r="V9" s="23">
        <v>0.222715</v>
      </c>
      <c r="W9" s="23">
        <v>15.6145</v>
      </c>
      <c r="X9" s="40">
        <v>15.1572</v>
      </c>
      <c r="Y9" s="39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5"/>
      <c r="AK9" s="75"/>
      <c r="AL9" s="75"/>
      <c r="AM9" s="23"/>
      <c r="AN9" s="23"/>
      <c r="AO9" s="23"/>
      <c r="AP9" s="23"/>
      <c r="AQ9" s="23"/>
      <c r="AR9" s="40"/>
      <c r="AS9" s="55"/>
      <c r="AT9" s="112"/>
      <c r="AU9" s="113"/>
      <c r="AV9" s="55"/>
      <c r="AW9" s="112"/>
      <c r="AX9" s="113"/>
      <c r="AY9" s="39">
        <f t="shared" si="0"/>
        <v>567724</v>
      </c>
      <c r="AZ9" s="73">
        <f t="shared" si="2"/>
        <v>236034856</v>
      </c>
      <c r="BA9" s="73">
        <f t="shared" si="3"/>
        <v>10667080</v>
      </c>
      <c r="BB9" s="73">
        <f t="shared" si="4"/>
        <v>225359480</v>
      </c>
      <c r="BC9" s="73">
        <f t="shared" si="5"/>
        <v>14673584</v>
      </c>
      <c r="BD9" s="73">
        <f t="shared" si="6"/>
        <v>31897368</v>
      </c>
      <c r="BE9" s="73">
        <f t="shared" si="7"/>
        <v>59132392</v>
      </c>
      <c r="BF9" s="73">
        <f t="shared" si="8"/>
        <v>70890040</v>
      </c>
      <c r="BG9" s="73">
        <f t="shared" si="9"/>
        <v>6270760</v>
      </c>
      <c r="BH9" s="73">
        <f t="shared" si="10"/>
        <v>18279592</v>
      </c>
      <c r="BI9" s="73">
        <f t="shared" si="11"/>
        <v>24215744</v>
      </c>
      <c r="BJ9" s="80">
        <f t="shared" si="12"/>
        <v>55.112845911333999</v>
      </c>
      <c r="BK9" s="80">
        <f t="shared" si="13"/>
        <v>59.181948924753002</v>
      </c>
      <c r="BL9" s="81">
        <f t="shared" si="14"/>
        <v>0.99930977767200002</v>
      </c>
    </row>
    <row r="10" spans="1:64">
      <c r="A10" s="238"/>
      <c r="B10" s="260" t="s">
        <v>1228</v>
      </c>
      <c r="C10" s="28" t="s">
        <v>46</v>
      </c>
      <c r="D10" s="48">
        <v>423249</v>
      </c>
      <c r="E10" s="34">
        <v>423249</v>
      </c>
      <c r="F10" s="67">
        <v>84266664</v>
      </c>
      <c r="G10" s="67">
        <v>8252744</v>
      </c>
      <c r="H10" s="67">
        <v>76005464</v>
      </c>
      <c r="I10" s="67">
        <v>7289152</v>
      </c>
      <c r="J10" s="67">
        <v>9516344</v>
      </c>
      <c r="K10" s="67">
        <v>17713992</v>
      </c>
      <c r="L10" s="67">
        <v>19001432</v>
      </c>
      <c r="M10" s="67">
        <v>2747744</v>
      </c>
      <c r="N10" s="67">
        <v>8342008</v>
      </c>
      <c r="O10" s="67">
        <v>11394792</v>
      </c>
      <c r="P10" s="68">
        <v>45.851892985733997</v>
      </c>
      <c r="Q10" s="68">
        <v>50.382913730417997</v>
      </c>
      <c r="R10" s="69">
        <v>0.99782449234600001</v>
      </c>
      <c r="S10" s="22">
        <v>11.548999999999999</v>
      </c>
      <c r="T10" s="22">
        <v>10.770200000000001</v>
      </c>
      <c r="U10" s="22">
        <v>0.92674400000000001</v>
      </c>
      <c r="V10" s="22">
        <v>0.17319999999999999</v>
      </c>
      <c r="W10" s="22">
        <v>10.2295</v>
      </c>
      <c r="X10" s="35">
        <v>10.308</v>
      </c>
      <c r="Y10" s="34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9"/>
      <c r="AK10" s="69"/>
      <c r="AL10" s="69"/>
      <c r="AM10" s="22"/>
      <c r="AN10" s="22"/>
      <c r="AO10" s="22"/>
      <c r="AP10" s="22"/>
      <c r="AQ10" s="22"/>
      <c r="AR10" s="35"/>
      <c r="AS10" s="53" cm="1">
        <f t="array" ref="AS10">bdRateHermite(F10:F14,P10:P14,Z10:Z14,AJ10:AJ14)</f>
        <v>0</v>
      </c>
      <c r="AT10" s="110" cm="1">
        <f t="array" ref="AT10">bdRateHermite(F10:F14,Q10:Q14,Z10:Z14,AK10:AK14)</f>
        <v>0</v>
      </c>
      <c r="AU10" s="111" cm="1">
        <f t="array" ref="AU10">bdRateHermite(F10:F14,R10:R14,Z10:Z14,AL10:AL14)</f>
        <v>0</v>
      </c>
      <c r="AV10" s="53" cm="1">
        <f t="array" ref="AV10">bdRateHermite(H10:H14,P10:P14,AB10:AB14,AJ10:AJ14)</f>
        <v>0</v>
      </c>
      <c r="AW10" s="110" cm="1">
        <f t="array" ref="AW10">bdRateHermite(H10:H14,Q10:Q14,AB10:AB14,AK10:AK14)</f>
        <v>0</v>
      </c>
      <c r="AX10" s="111" cm="1">
        <f t="array" ref="AX10">bdRateHermite(H10:H14,R10:R14,AB10:AB14,AL10:AL14)</f>
        <v>0</v>
      </c>
      <c r="AY10" s="34">
        <f t="shared" si="0"/>
        <v>423249</v>
      </c>
      <c r="AZ10" s="67">
        <f t="shared" si="2"/>
        <v>84266664</v>
      </c>
      <c r="BA10" s="67">
        <f t="shared" si="3"/>
        <v>8252744</v>
      </c>
      <c r="BB10" s="67">
        <f t="shared" si="4"/>
        <v>76005464</v>
      </c>
      <c r="BC10" s="67">
        <f t="shared" si="5"/>
        <v>7289152</v>
      </c>
      <c r="BD10" s="67">
        <f t="shared" si="6"/>
        <v>9516344</v>
      </c>
      <c r="BE10" s="67">
        <f t="shared" si="7"/>
        <v>17713992</v>
      </c>
      <c r="BF10" s="67">
        <f t="shared" si="8"/>
        <v>19001432</v>
      </c>
      <c r="BG10" s="67">
        <f t="shared" si="9"/>
        <v>2747744</v>
      </c>
      <c r="BH10" s="67">
        <f t="shared" si="10"/>
        <v>8342008</v>
      </c>
      <c r="BI10" s="67">
        <f t="shared" si="11"/>
        <v>11394792</v>
      </c>
      <c r="BJ10" s="76">
        <f t="shared" si="12"/>
        <v>45.851892985733997</v>
      </c>
      <c r="BK10" s="76">
        <f t="shared" si="13"/>
        <v>50.382913730417997</v>
      </c>
      <c r="BL10" s="77">
        <f t="shared" si="14"/>
        <v>0.99782449234600001</v>
      </c>
    </row>
    <row r="11" spans="1:64" outlineLevel="1">
      <c r="A11" s="238"/>
      <c r="B11" s="261"/>
      <c r="C11" s="29" t="s">
        <v>47</v>
      </c>
      <c r="D11" s="49">
        <v>423249</v>
      </c>
      <c r="E11" s="36">
        <v>423249</v>
      </c>
      <c r="F11" s="70">
        <v>106491576</v>
      </c>
      <c r="G11" s="70">
        <v>8252744</v>
      </c>
      <c r="H11" s="70">
        <v>98230392</v>
      </c>
      <c r="I11" s="70">
        <v>8589568</v>
      </c>
      <c r="J11" s="70">
        <v>13065632</v>
      </c>
      <c r="K11" s="70">
        <v>23741840</v>
      </c>
      <c r="L11" s="70">
        <v>26910688</v>
      </c>
      <c r="M11" s="70">
        <v>3156136</v>
      </c>
      <c r="N11" s="70">
        <v>9647448</v>
      </c>
      <c r="O11" s="70">
        <v>13119080</v>
      </c>
      <c r="P11" s="71">
        <v>50.219854395524997</v>
      </c>
      <c r="Q11" s="71">
        <v>54.440974162023998</v>
      </c>
      <c r="R11" s="72">
        <v>0.99859388370199997</v>
      </c>
      <c r="S11" s="37">
        <v>11.7967</v>
      </c>
      <c r="T11" s="37">
        <v>10.9415</v>
      </c>
      <c r="U11" s="37">
        <v>0.91100400000000004</v>
      </c>
      <c r="V11" s="37">
        <v>0.17291699999999999</v>
      </c>
      <c r="W11" s="37">
        <v>10.497400000000001</v>
      </c>
      <c r="X11" s="38">
        <v>10.428100000000001</v>
      </c>
      <c r="Y11" s="36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2"/>
      <c r="AK11" s="72"/>
      <c r="AL11" s="72"/>
      <c r="AM11" s="37"/>
      <c r="AN11" s="37"/>
      <c r="AO11" s="37"/>
      <c r="AP11" s="37"/>
      <c r="AQ11" s="37"/>
      <c r="AR11" s="38"/>
      <c r="AS11" s="54"/>
      <c r="AT11" s="112"/>
      <c r="AU11" s="113"/>
      <c r="AV11" s="54"/>
      <c r="AW11" s="112"/>
      <c r="AX11" s="113"/>
      <c r="AY11" s="36">
        <f t="shared" si="0"/>
        <v>423249</v>
      </c>
      <c r="AZ11" s="70">
        <f t="shared" ref="AZ11:AZ44" si="15">F11-Z11</f>
        <v>106491576</v>
      </c>
      <c r="BA11" s="70">
        <f t="shared" ref="BA11:BA44" si="16">G11-AA11</f>
        <v>8252744</v>
      </c>
      <c r="BB11" s="70">
        <f t="shared" ref="BB11:BB44" si="17">H11-AB11</f>
        <v>98230392</v>
      </c>
      <c r="BC11" s="70">
        <f t="shared" ref="BC11:BC44" si="18">I11-AC11</f>
        <v>8589568</v>
      </c>
      <c r="BD11" s="70">
        <f t="shared" ref="BD11:BD44" si="19">J11-AD11</f>
        <v>13065632</v>
      </c>
      <c r="BE11" s="70">
        <f t="shared" ref="BE11:BE44" si="20">K11-AE11</f>
        <v>23741840</v>
      </c>
      <c r="BF11" s="70">
        <f t="shared" ref="BF11:BF44" si="21">L11-AF11</f>
        <v>26910688</v>
      </c>
      <c r="BG11" s="70">
        <f t="shared" ref="BG11:BG44" si="22">M11-AG11</f>
        <v>3156136</v>
      </c>
      <c r="BH11" s="70">
        <f t="shared" ref="BH11:BH44" si="23">N11-AH11</f>
        <v>9647448</v>
      </c>
      <c r="BI11" s="70">
        <f t="shared" ref="BI11:BI44" si="24">O11-AI11</f>
        <v>13119080</v>
      </c>
      <c r="BJ11" s="78">
        <f t="shared" ref="BJ11:BJ44" si="25">P11-AJ11</f>
        <v>50.219854395524997</v>
      </c>
      <c r="BK11" s="78">
        <f t="shared" ref="BK11:BK44" si="26">Q11-AK11</f>
        <v>54.440974162023998</v>
      </c>
      <c r="BL11" s="79">
        <f t="shared" ref="BL11:BL44" si="27">R11-AL11</f>
        <v>0.99859388370199997</v>
      </c>
    </row>
    <row r="12" spans="1:64" outlineLevel="1">
      <c r="A12" s="238"/>
      <c r="B12" s="261"/>
      <c r="C12" s="29" t="s">
        <v>48</v>
      </c>
      <c r="D12" s="49">
        <v>423249</v>
      </c>
      <c r="E12" s="36">
        <v>423249</v>
      </c>
      <c r="F12" s="70">
        <v>129190712</v>
      </c>
      <c r="G12" s="70">
        <v>8252744</v>
      </c>
      <c r="H12" s="70">
        <v>120929568</v>
      </c>
      <c r="I12" s="70">
        <v>10369808</v>
      </c>
      <c r="J12" s="70">
        <v>20803568</v>
      </c>
      <c r="K12" s="70">
        <v>26904208</v>
      </c>
      <c r="L12" s="70">
        <v>34020136</v>
      </c>
      <c r="M12" s="70">
        <v>3711400</v>
      </c>
      <c r="N12" s="70">
        <v>10653200</v>
      </c>
      <c r="O12" s="70">
        <v>14467248</v>
      </c>
      <c r="P12" s="71">
        <v>52.161300304370002</v>
      </c>
      <c r="Q12" s="71">
        <v>56.245320505138999</v>
      </c>
      <c r="R12" s="72">
        <v>0.99884772958199997</v>
      </c>
      <c r="S12" s="37">
        <v>12.116199999999999</v>
      </c>
      <c r="T12" s="37">
        <v>11.6266</v>
      </c>
      <c r="U12" s="37">
        <v>0.93274999999999997</v>
      </c>
      <c r="V12" s="37">
        <v>0.19237799999999999</v>
      </c>
      <c r="W12" s="37">
        <v>10.797700000000001</v>
      </c>
      <c r="X12" s="38">
        <v>11.0505</v>
      </c>
      <c r="Y12" s="36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2"/>
      <c r="AK12" s="72"/>
      <c r="AL12" s="72"/>
      <c r="AM12" s="37"/>
      <c r="AN12" s="37"/>
      <c r="AO12" s="37"/>
      <c r="AP12" s="37"/>
      <c r="AQ12" s="37"/>
      <c r="AR12" s="38"/>
      <c r="AS12" s="54"/>
      <c r="AT12" s="112"/>
      <c r="AU12" s="113"/>
      <c r="AV12" s="54"/>
      <c r="AW12" s="112"/>
      <c r="AX12" s="113"/>
      <c r="AY12" s="36">
        <f t="shared" si="0"/>
        <v>423249</v>
      </c>
      <c r="AZ12" s="70">
        <f t="shared" si="15"/>
        <v>129190712</v>
      </c>
      <c r="BA12" s="70">
        <f t="shared" si="16"/>
        <v>8252744</v>
      </c>
      <c r="BB12" s="70">
        <f t="shared" si="17"/>
        <v>120929568</v>
      </c>
      <c r="BC12" s="70">
        <f t="shared" si="18"/>
        <v>10369808</v>
      </c>
      <c r="BD12" s="70">
        <f t="shared" si="19"/>
        <v>20803568</v>
      </c>
      <c r="BE12" s="70">
        <f t="shared" si="20"/>
        <v>26904208</v>
      </c>
      <c r="BF12" s="70">
        <f t="shared" si="21"/>
        <v>34020136</v>
      </c>
      <c r="BG12" s="70">
        <f t="shared" si="22"/>
        <v>3711400</v>
      </c>
      <c r="BH12" s="70">
        <f t="shared" si="23"/>
        <v>10653200</v>
      </c>
      <c r="BI12" s="70">
        <f t="shared" si="24"/>
        <v>14467248</v>
      </c>
      <c r="BJ12" s="78">
        <f t="shared" si="25"/>
        <v>52.161300304370002</v>
      </c>
      <c r="BK12" s="78">
        <f t="shared" si="26"/>
        <v>56.245320505138999</v>
      </c>
      <c r="BL12" s="79">
        <f t="shared" si="27"/>
        <v>0.99884772958199997</v>
      </c>
    </row>
    <row r="13" spans="1:64" outlineLevel="1">
      <c r="A13" s="238"/>
      <c r="B13" s="261"/>
      <c r="C13" s="29" t="s">
        <v>49</v>
      </c>
      <c r="D13" s="49">
        <v>423249</v>
      </c>
      <c r="E13" s="36">
        <v>423249</v>
      </c>
      <c r="F13" s="70">
        <v>154661432</v>
      </c>
      <c r="G13" s="70">
        <v>8252744</v>
      </c>
      <c r="H13" s="70">
        <v>146400360</v>
      </c>
      <c r="I13" s="70">
        <v>10862056</v>
      </c>
      <c r="J13" s="70">
        <v>20803568</v>
      </c>
      <c r="K13" s="70">
        <v>36662296</v>
      </c>
      <c r="L13" s="70">
        <v>44482432</v>
      </c>
      <c r="M13" s="70">
        <v>4086392</v>
      </c>
      <c r="N13" s="70">
        <v>12523344</v>
      </c>
      <c r="O13" s="70">
        <v>16980272</v>
      </c>
      <c r="P13" s="71">
        <v>54.125624925003997</v>
      </c>
      <c r="Q13" s="71">
        <v>58.106914070586001</v>
      </c>
      <c r="R13" s="72">
        <v>0.99918198970500005</v>
      </c>
      <c r="S13" s="37">
        <v>12.468299999999999</v>
      </c>
      <c r="T13" s="37">
        <v>11.6501</v>
      </c>
      <c r="U13" s="37">
        <v>0.92663300000000004</v>
      </c>
      <c r="V13" s="37">
        <v>0.173154</v>
      </c>
      <c r="W13" s="37">
        <v>11.1478</v>
      </c>
      <c r="X13" s="38">
        <v>11.029299999999999</v>
      </c>
      <c r="Y13" s="36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2"/>
      <c r="AK13" s="72"/>
      <c r="AL13" s="72"/>
      <c r="AM13" s="37"/>
      <c r="AN13" s="37"/>
      <c r="AO13" s="37"/>
      <c r="AP13" s="37"/>
      <c r="AQ13" s="37"/>
      <c r="AR13" s="38"/>
      <c r="AS13" s="54"/>
      <c r="AT13" s="112"/>
      <c r="AU13" s="113"/>
      <c r="AV13" s="54"/>
      <c r="AW13" s="112"/>
      <c r="AX13" s="113"/>
      <c r="AY13" s="36">
        <f t="shared" si="0"/>
        <v>423249</v>
      </c>
      <c r="AZ13" s="70">
        <f t="shared" si="15"/>
        <v>154661432</v>
      </c>
      <c r="BA13" s="70">
        <f t="shared" si="16"/>
        <v>8252744</v>
      </c>
      <c r="BB13" s="70">
        <f t="shared" si="17"/>
        <v>146400360</v>
      </c>
      <c r="BC13" s="70">
        <f t="shared" si="18"/>
        <v>10862056</v>
      </c>
      <c r="BD13" s="70">
        <f t="shared" si="19"/>
        <v>20803568</v>
      </c>
      <c r="BE13" s="70">
        <f t="shared" si="20"/>
        <v>36662296</v>
      </c>
      <c r="BF13" s="70">
        <f t="shared" si="21"/>
        <v>44482432</v>
      </c>
      <c r="BG13" s="70">
        <f t="shared" si="22"/>
        <v>4086392</v>
      </c>
      <c r="BH13" s="70">
        <f t="shared" si="23"/>
        <v>12523344</v>
      </c>
      <c r="BI13" s="70">
        <f t="shared" si="24"/>
        <v>16980272</v>
      </c>
      <c r="BJ13" s="78">
        <f t="shared" si="25"/>
        <v>54.125624925003997</v>
      </c>
      <c r="BK13" s="78">
        <f t="shared" si="26"/>
        <v>58.106914070586001</v>
      </c>
      <c r="BL13" s="79">
        <f t="shared" si="27"/>
        <v>0.99918198970500005</v>
      </c>
    </row>
    <row r="14" spans="1:64" ht="15.75" outlineLevel="1" thickBot="1">
      <c r="A14" s="238"/>
      <c r="B14" s="262"/>
      <c r="C14" s="30" t="s">
        <v>50</v>
      </c>
      <c r="D14" s="50">
        <v>423249</v>
      </c>
      <c r="E14" s="39">
        <v>423249</v>
      </c>
      <c r="F14" s="73">
        <v>174308632</v>
      </c>
      <c r="G14" s="73">
        <v>8252744</v>
      </c>
      <c r="H14" s="73">
        <v>166047592</v>
      </c>
      <c r="I14" s="73">
        <v>11439968</v>
      </c>
      <c r="J14" s="73">
        <v>22779848</v>
      </c>
      <c r="K14" s="73">
        <v>43184840</v>
      </c>
      <c r="L14" s="73">
        <v>52490608</v>
      </c>
      <c r="M14" s="73">
        <v>4659744</v>
      </c>
      <c r="N14" s="73">
        <v>13373008</v>
      </c>
      <c r="O14" s="73">
        <v>18119576</v>
      </c>
      <c r="P14" s="74">
        <v>54.316658858019998</v>
      </c>
      <c r="Q14" s="74">
        <v>58.266802136583003</v>
      </c>
      <c r="R14" s="75">
        <v>0.99922174590199997</v>
      </c>
      <c r="S14" s="23">
        <v>12.797499999999999</v>
      </c>
      <c r="T14" s="23">
        <v>11.9305</v>
      </c>
      <c r="U14" s="23">
        <v>0.91796999999999995</v>
      </c>
      <c r="V14" s="23">
        <v>0.179454</v>
      </c>
      <c r="W14" s="23">
        <v>11.4742</v>
      </c>
      <c r="X14" s="40">
        <v>11.285399999999999</v>
      </c>
      <c r="Y14" s="39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5"/>
      <c r="AK14" s="75"/>
      <c r="AL14" s="75"/>
      <c r="AM14" s="23"/>
      <c r="AN14" s="23"/>
      <c r="AO14" s="23"/>
      <c r="AP14" s="23"/>
      <c r="AQ14" s="23"/>
      <c r="AR14" s="40"/>
      <c r="AS14" s="54"/>
      <c r="AT14" s="112"/>
      <c r="AU14" s="113"/>
      <c r="AV14" s="54"/>
      <c r="AW14" s="112"/>
      <c r="AX14" s="113"/>
      <c r="AY14" s="39">
        <f t="shared" si="0"/>
        <v>423249</v>
      </c>
      <c r="AZ14" s="73">
        <f t="shared" si="15"/>
        <v>174308632</v>
      </c>
      <c r="BA14" s="73">
        <f t="shared" si="16"/>
        <v>8252744</v>
      </c>
      <c r="BB14" s="73">
        <f t="shared" si="17"/>
        <v>166047592</v>
      </c>
      <c r="BC14" s="73">
        <f t="shared" si="18"/>
        <v>11439968</v>
      </c>
      <c r="BD14" s="73">
        <f t="shared" si="19"/>
        <v>22779848</v>
      </c>
      <c r="BE14" s="73">
        <f t="shared" si="20"/>
        <v>43184840</v>
      </c>
      <c r="BF14" s="73">
        <f t="shared" si="21"/>
        <v>52490608</v>
      </c>
      <c r="BG14" s="73">
        <f t="shared" si="22"/>
        <v>4659744</v>
      </c>
      <c r="BH14" s="73">
        <f t="shared" si="23"/>
        <v>13373008</v>
      </c>
      <c r="BI14" s="73">
        <f t="shared" si="24"/>
        <v>18119576</v>
      </c>
      <c r="BJ14" s="80">
        <f t="shared" si="25"/>
        <v>54.316658858019998</v>
      </c>
      <c r="BK14" s="80">
        <f t="shared" si="26"/>
        <v>58.266802136583003</v>
      </c>
      <c r="BL14" s="81">
        <f t="shared" si="27"/>
        <v>0.99922174590199997</v>
      </c>
    </row>
    <row r="15" spans="1:64">
      <c r="A15" s="238"/>
      <c r="B15" s="260" t="s">
        <v>1244</v>
      </c>
      <c r="C15" s="28" t="s">
        <v>46</v>
      </c>
      <c r="D15" s="48">
        <v>157265</v>
      </c>
      <c r="E15" s="34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8"/>
      <c r="Q15" s="68"/>
      <c r="R15" s="69"/>
      <c r="S15" s="22"/>
      <c r="T15" s="22"/>
      <c r="U15" s="22"/>
      <c r="V15" s="22"/>
      <c r="W15" s="22"/>
      <c r="X15" s="35"/>
      <c r="Y15" s="34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9"/>
      <c r="AK15" s="69"/>
      <c r="AL15" s="69"/>
      <c r="AM15" s="22"/>
      <c r="AN15" s="22"/>
      <c r="AO15" s="22"/>
      <c r="AP15" s="22"/>
      <c r="AQ15" s="22"/>
      <c r="AR15" s="35"/>
      <c r="AS15" s="53" cm="1">
        <f t="array" ref="AS15">bdRateHermite(F15:F19,P15:P19,Z15:Z19,AJ15:AJ19)</f>
        <v>0</v>
      </c>
      <c r="AT15" s="110" cm="1">
        <f t="array" ref="AT15">bdRateHermite(F15:F19,Q15:Q19,Z15:Z19,AK15:AK19)</f>
        <v>0</v>
      </c>
      <c r="AU15" s="111" cm="1">
        <f t="array" ref="AU15">bdRateHermite(F15:F19,R15:R19,Z15:Z19,AL15:AL19)</f>
        <v>0</v>
      </c>
      <c r="AV15" s="53" cm="1">
        <f t="array" ref="AV15">bdRateHermite(H15:H19,P15:P19,AB15:AB19,AJ15:AJ19)</f>
        <v>0</v>
      </c>
      <c r="AW15" s="110" cm="1">
        <f t="array" ref="AW15">bdRateHermite(H15:H19,Q15:Q19,AB15:AB19,AK15:AK19)</f>
        <v>0</v>
      </c>
      <c r="AX15" s="111" cm="1">
        <f t="array" ref="AX15">bdRateHermite(H15:H19,R15:R19,AB15:AB19,AL15:AL19)</f>
        <v>0</v>
      </c>
      <c r="AY15" s="34">
        <f t="shared" si="0"/>
        <v>0</v>
      </c>
      <c r="AZ15" s="67">
        <f t="shared" si="15"/>
        <v>0</v>
      </c>
      <c r="BA15" s="67">
        <f t="shared" si="16"/>
        <v>0</v>
      </c>
      <c r="BB15" s="67">
        <f t="shared" si="17"/>
        <v>0</v>
      </c>
      <c r="BC15" s="67">
        <f t="shared" si="18"/>
        <v>0</v>
      </c>
      <c r="BD15" s="67">
        <f t="shared" si="19"/>
        <v>0</v>
      </c>
      <c r="BE15" s="67">
        <f t="shared" si="20"/>
        <v>0</v>
      </c>
      <c r="BF15" s="67">
        <f t="shared" si="21"/>
        <v>0</v>
      </c>
      <c r="BG15" s="67">
        <f t="shared" si="22"/>
        <v>0</v>
      </c>
      <c r="BH15" s="67">
        <f t="shared" si="23"/>
        <v>0</v>
      </c>
      <c r="BI15" s="67">
        <f t="shared" si="24"/>
        <v>0</v>
      </c>
      <c r="BJ15" s="76">
        <f t="shared" si="25"/>
        <v>0</v>
      </c>
      <c r="BK15" s="76">
        <f t="shared" si="26"/>
        <v>0</v>
      </c>
      <c r="BL15" s="77">
        <f t="shared" si="27"/>
        <v>0</v>
      </c>
    </row>
    <row r="16" spans="1:64" outlineLevel="1">
      <c r="A16" s="238"/>
      <c r="B16" s="261"/>
      <c r="C16" s="29" t="s">
        <v>47</v>
      </c>
      <c r="D16" s="49">
        <v>157265</v>
      </c>
      <c r="E16" s="36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1"/>
      <c r="Q16" s="71"/>
      <c r="R16" s="72"/>
      <c r="S16" s="37"/>
      <c r="T16" s="37"/>
      <c r="U16" s="37"/>
      <c r="V16" s="37"/>
      <c r="W16" s="37"/>
      <c r="X16" s="38"/>
      <c r="Y16" s="36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2"/>
      <c r="AK16" s="72"/>
      <c r="AL16" s="72"/>
      <c r="AM16" s="37"/>
      <c r="AN16" s="37"/>
      <c r="AO16" s="37"/>
      <c r="AP16" s="37"/>
      <c r="AQ16" s="37"/>
      <c r="AR16" s="38"/>
      <c r="AS16" s="54"/>
      <c r="AT16" s="112"/>
      <c r="AU16" s="113"/>
      <c r="AV16" s="54"/>
      <c r="AW16" s="112"/>
      <c r="AX16" s="113"/>
      <c r="AY16" s="36">
        <f t="shared" si="0"/>
        <v>0</v>
      </c>
      <c r="AZ16" s="70">
        <f t="shared" si="15"/>
        <v>0</v>
      </c>
      <c r="BA16" s="70">
        <f t="shared" si="16"/>
        <v>0</v>
      </c>
      <c r="BB16" s="70">
        <f t="shared" si="17"/>
        <v>0</v>
      </c>
      <c r="BC16" s="70">
        <f t="shared" si="18"/>
        <v>0</v>
      </c>
      <c r="BD16" s="70">
        <f t="shared" si="19"/>
        <v>0</v>
      </c>
      <c r="BE16" s="70">
        <f t="shared" si="20"/>
        <v>0</v>
      </c>
      <c r="BF16" s="70">
        <f t="shared" si="21"/>
        <v>0</v>
      </c>
      <c r="BG16" s="70">
        <f t="shared" si="22"/>
        <v>0</v>
      </c>
      <c r="BH16" s="70">
        <f t="shared" si="23"/>
        <v>0</v>
      </c>
      <c r="BI16" s="70">
        <f t="shared" si="24"/>
        <v>0</v>
      </c>
      <c r="BJ16" s="78">
        <f t="shared" si="25"/>
        <v>0</v>
      </c>
      <c r="BK16" s="78">
        <f t="shared" si="26"/>
        <v>0</v>
      </c>
      <c r="BL16" s="79">
        <f t="shared" si="27"/>
        <v>0</v>
      </c>
    </row>
    <row r="17" spans="1:64" outlineLevel="1">
      <c r="A17" s="238"/>
      <c r="B17" s="261"/>
      <c r="C17" s="29" t="s">
        <v>48</v>
      </c>
      <c r="D17" s="49">
        <v>157265</v>
      </c>
      <c r="E17" s="36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1"/>
      <c r="Q17" s="71"/>
      <c r="R17" s="72"/>
      <c r="S17" s="37"/>
      <c r="T17" s="37"/>
      <c r="U17" s="37"/>
      <c r="V17" s="37"/>
      <c r="W17" s="37"/>
      <c r="X17" s="38"/>
      <c r="Y17" s="36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2"/>
      <c r="AK17" s="72"/>
      <c r="AL17" s="72"/>
      <c r="AM17" s="37"/>
      <c r="AN17" s="37"/>
      <c r="AO17" s="37"/>
      <c r="AP17" s="37"/>
      <c r="AQ17" s="37"/>
      <c r="AR17" s="38"/>
      <c r="AS17" s="54"/>
      <c r="AT17" s="112"/>
      <c r="AU17" s="113"/>
      <c r="AV17" s="54"/>
      <c r="AW17" s="112"/>
      <c r="AX17" s="113"/>
      <c r="AY17" s="36">
        <f t="shared" si="0"/>
        <v>0</v>
      </c>
      <c r="AZ17" s="70">
        <f t="shared" si="15"/>
        <v>0</v>
      </c>
      <c r="BA17" s="70">
        <f t="shared" si="16"/>
        <v>0</v>
      </c>
      <c r="BB17" s="70">
        <f t="shared" si="17"/>
        <v>0</v>
      </c>
      <c r="BC17" s="70">
        <f t="shared" si="18"/>
        <v>0</v>
      </c>
      <c r="BD17" s="70">
        <f t="shared" si="19"/>
        <v>0</v>
      </c>
      <c r="BE17" s="70">
        <f t="shared" si="20"/>
        <v>0</v>
      </c>
      <c r="BF17" s="70">
        <f t="shared" si="21"/>
        <v>0</v>
      </c>
      <c r="BG17" s="70">
        <f t="shared" si="22"/>
        <v>0</v>
      </c>
      <c r="BH17" s="70">
        <f t="shared" si="23"/>
        <v>0</v>
      </c>
      <c r="BI17" s="70">
        <f t="shared" si="24"/>
        <v>0</v>
      </c>
      <c r="BJ17" s="78">
        <f t="shared" si="25"/>
        <v>0</v>
      </c>
      <c r="BK17" s="78">
        <f t="shared" si="26"/>
        <v>0</v>
      </c>
      <c r="BL17" s="79">
        <f t="shared" si="27"/>
        <v>0</v>
      </c>
    </row>
    <row r="18" spans="1:64" outlineLevel="1">
      <c r="A18" s="238"/>
      <c r="B18" s="261"/>
      <c r="C18" s="29" t="s">
        <v>49</v>
      </c>
      <c r="D18" s="49">
        <v>157265</v>
      </c>
      <c r="E18" s="36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1"/>
      <c r="Q18" s="71"/>
      <c r="R18" s="72"/>
      <c r="S18" s="37"/>
      <c r="T18" s="37"/>
      <c r="U18" s="37"/>
      <c r="V18" s="37"/>
      <c r="W18" s="37"/>
      <c r="X18" s="38"/>
      <c r="Y18" s="36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2"/>
      <c r="AK18" s="72"/>
      <c r="AL18" s="72"/>
      <c r="AM18" s="37"/>
      <c r="AN18" s="37"/>
      <c r="AO18" s="37"/>
      <c r="AP18" s="37"/>
      <c r="AQ18" s="37"/>
      <c r="AR18" s="38"/>
      <c r="AS18" s="54"/>
      <c r="AT18" s="112"/>
      <c r="AU18" s="113"/>
      <c r="AV18" s="54"/>
      <c r="AW18" s="112"/>
      <c r="AX18" s="113"/>
      <c r="AY18" s="36">
        <f t="shared" si="0"/>
        <v>0</v>
      </c>
      <c r="AZ18" s="70">
        <f t="shared" si="15"/>
        <v>0</v>
      </c>
      <c r="BA18" s="70">
        <f t="shared" si="16"/>
        <v>0</v>
      </c>
      <c r="BB18" s="70">
        <f t="shared" si="17"/>
        <v>0</v>
      </c>
      <c r="BC18" s="70">
        <f t="shared" si="18"/>
        <v>0</v>
      </c>
      <c r="BD18" s="70">
        <f t="shared" si="19"/>
        <v>0</v>
      </c>
      <c r="BE18" s="70">
        <f t="shared" si="20"/>
        <v>0</v>
      </c>
      <c r="BF18" s="70">
        <f t="shared" si="21"/>
        <v>0</v>
      </c>
      <c r="BG18" s="70">
        <f t="shared" si="22"/>
        <v>0</v>
      </c>
      <c r="BH18" s="70">
        <f t="shared" si="23"/>
        <v>0</v>
      </c>
      <c r="BI18" s="70">
        <f t="shared" si="24"/>
        <v>0</v>
      </c>
      <c r="BJ18" s="78">
        <f t="shared" si="25"/>
        <v>0</v>
      </c>
      <c r="BK18" s="78">
        <f t="shared" si="26"/>
        <v>0</v>
      </c>
      <c r="BL18" s="79">
        <f t="shared" si="27"/>
        <v>0</v>
      </c>
    </row>
    <row r="19" spans="1:64" ht="15.75" outlineLevel="1" thickBot="1">
      <c r="A19" s="238"/>
      <c r="B19" s="262"/>
      <c r="C19" s="30" t="s">
        <v>50</v>
      </c>
      <c r="D19" s="50">
        <v>157265</v>
      </c>
      <c r="E19" s="39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4"/>
      <c r="Q19" s="74"/>
      <c r="R19" s="75"/>
      <c r="S19" s="23"/>
      <c r="T19" s="23"/>
      <c r="U19" s="23"/>
      <c r="V19" s="23"/>
      <c r="W19" s="23"/>
      <c r="X19" s="40"/>
      <c r="Y19" s="39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5"/>
      <c r="AK19" s="75"/>
      <c r="AL19" s="75"/>
      <c r="AM19" s="23"/>
      <c r="AN19" s="23"/>
      <c r="AO19" s="23"/>
      <c r="AP19" s="23"/>
      <c r="AQ19" s="23"/>
      <c r="AR19" s="40"/>
      <c r="AS19" s="55"/>
      <c r="AT19" s="112"/>
      <c r="AU19" s="113"/>
      <c r="AV19" s="55"/>
      <c r="AW19" s="112"/>
      <c r="AX19" s="113"/>
      <c r="AY19" s="39">
        <f t="shared" si="0"/>
        <v>0</v>
      </c>
      <c r="AZ19" s="73">
        <f t="shared" si="15"/>
        <v>0</v>
      </c>
      <c r="BA19" s="73">
        <f t="shared" si="16"/>
        <v>0</v>
      </c>
      <c r="BB19" s="73">
        <f t="shared" si="17"/>
        <v>0</v>
      </c>
      <c r="BC19" s="73">
        <f t="shared" si="18"/>
        <v>0</v>
      </c>
      <c r="BD19" s="73">
        <f t="shared" si="19"/>
        <v>0</v>
      </c>
      <c r="BE19" s="73">
        <f t="shared" si="20"/>
        <v>0</v>
      </c>
      <c r="BF19" s="73">
        <f t="shared" si="21"/>
        <v>0</v>
      </c>
      <c r="BG19" s="73">
        <f t="shared" si="22"/>
        <v>0</v>
      </c>
      <c r="BH19" s="73">
        <f t="shared" si="23"/>
        <v>0</v>
      </c>
      <c r="BI19" s="73">
        <f t="shared" si="24"/>
        <v>0</v>
      </c>
      <c r="BJ19" s="80">
        <f t="shared" si="25"/>
        <v>0</v>
      </c>
      <c r="BK19" s="80">
        <f t="shared" si="26"/>
        <v>0</v>
      </c>
      <c r="BL19" s="81">
        <f t="shared" si="27"/>
        <v>0</v>
      </c>
    </row>
    <row r="20" spans="1:64">
      <c r="A20" s="238"/>
      <c r="B20" s="260" t="s">
        <v>1245</v>
      </c>
      <c r="C20" s="28" t="s">
        <v>46</v>
      </c>
      <c r="D20" s="48">
        <v>199932</v>
      </c>
      <c r="E20" s="34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8"/>
      <c r="Q20" s="68"/>
      <c r="R20" s="69"/>
      <c r="S20" s="22"/>
      <c r="T20" s="22"/>
      <c r="U20" s="22"/>
      <c r="V20" s="22"/>
      <c r="W20" s="22"/>
      <c r="X20" s="35"/>
      <c r="Y20" s="34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9"/>
      <c r="AK20" s="69"/>
      <c r="AL20" s="69"/>
      <c r="AM20" s="22"/>
      <c r="AN20" s="22"/>
      <c r="AO20" s="22"/>
      <c r="AP20" s="22"/>
      <c r="AQ20" s="22"/>
      <c r="AR20" s="35"/>
      <c r="AS20" s="53" cm="1">
        <f t="array" ref="AS20">bdRateHermite(F20:F24,P20:P24,Z20:Z24,AJ20:AJ24)</f>
        <v>0</v>
      </c>
      <c r="AT20" s="110" cm="1">
        <f t="array" ref="AT20">bdRateHermite(F20:F24,Q20:Q24,Z20:Z24,AK20:AK24)</f>
        <v>0</v>
      </c>
      <c r="AU20" s="111" cm="1">
        <f t="array" ref="AU20">bdRateHermite(F20:F24,R20:R24,Z20:Z24,AL20:AL24)</f>
        <v>0</v>
      </c>
      <c r="AV20" s="53" cm="1">
        <f t="array" ref="AV20">bdRateHermite(H20:H24,P20:P24,AB20:AB24,AJ20:AJ24)</f>
        <v>0</v>
      </c>
      <c r="AW20" s="110" cm="1">
        <f t="array" ref="AW20">bdRateHermite(H20:H24,Q20:Q24,AB20:AB24,AK20:AK24)</f>
        <v>0</v>
      </c>
      <c r="AX20" s="111" cm="1">
        <f t="array" ref="AX20">bdRateHermite(H20:H24,R20:R24,AB20:AB24,AL20:AL24)</f>
        <v>0</v>
      </c>
      <c r="AY20" s="34">
        <f t="shared" si="0"/>
        <v>0</v>
      </c>
      <c r="AZ20" s="67">
        <f t="shared" si="15"/>
        <v>0</v>
      </c>
      <c r="BA20" s="67">
        <f t="shared" si="16"/>
        <v>0</v>
      </c>
      <c r="BB20" s="67">
        <f>H20-AB20</f>
        <v>0</v>
      </c>
      <c r="BC20" s="67">
        <f t="shared" si="18"/>
        <v>0</v>
      </c>
      <c r="BD20" s="67">
        <f t="shared" si="19"/>
        <v>0</v>
      </c>
      <c r="BE20" s="67">
        <f t="shared" si="20"/>
        <v>0</v>
      </c>
      <c r="BF20" s="67">
        <f t="shared" si="21"/>
        <v>0</v>
      </c>
      <c r="BG20" s="67">
        <f t="shared" si="22"/>
        <v>0</v>
      </c>
      <c r="BH20" s="67">
        <f t="shared" si="23"/>
        <v>0</v>
      </c>
      <c r="BI20" s="67">
        <f t="shared" si="24"/>
        <v>0</v>
      </c>
      <c r="BJ20" s="76">
        <f t="shared" si="25"/>
        <v>0</v>
      </c>
      <c r="BK20" s="76">
        <f t="shared" si="26"/>
        <v>0</v>
      </c>
      <c r="BL20" s="77">
        <f t="shared" si="27"/>
        <v>0</v>
      </c>
    </row>
    <row r="21" spans="1:64" outlineLevel="1">
      <c r="A21" s="238"/>
      <c r="B21" s="261"/>
      <c r="C21" s="29" t="s">
        <v>47</v>
      </c>
      <c r="D21" s="49">
        <v>199932</v>
      </c>
      <c r="E21" s="36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1"/>
      <c r="Q21" s="71"/>
      <c r="R21" s="72"/>
      <c r="S21" s="37"/>
      <c r="T21" s="37"/>
      <c r="U21" s="37"/>
      <c r="V21" s="37"/>
      <c r="W21" s="37"/>
      <c r="X21" s="38"/>
      <c r="Y21" s="36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2"/>
      <c r="AK21" s="72"/>
      <c r="AL21" s="72"/>
      <c r="AM21" s="37"/>
      <c r="AN21" s="37"/>
      <c r="AO21" s="37"/>
      <c r="AP21" s="37"/>
      <c r="AQ21" s="37"/>
      <c r="AR21" s="38"/>
      <c r="AS21" s="54"/>
      <c r="AT21" s="112"/>
      <c r="AU21" s="113"/>
      <c r="AV21" s="54"/>
      <c r="AW21" s="112"/>
      <c r="AX21" s="113"/>
      <c r="AY21" s="36">
        <f t="shared" si="0"/>
        <v>0</v>
      </c>
      <c r="AZ21" s="70">
        <f t="shared" si="15"/>
        <v>0</v>
      </c>
      <c r="BA21" s="70">
        <f t="shared" si="16"/>
        <v>0</v>
      </c>
      <c r="BB21" s="70">
        <f t="shared" si="17"/>
        <v>0</v>
      </c>
      <c r="BC21" s="70">
        <f t="shared" si="18"/>
        <v>0</v>
      </c>
      <c r="BD21" s="70">
        <f t="shared" si="19"/>
        <v>0</v>
      </c>
      <c r="BE21" s="70">
        <f t="shared" si="20"/>
        <v>0</v>
      </c>
      <c r="BF21" s="70">
        <f t="shared" si="21"/>
        <v>0</v>
      </c>
      <c r="BG21" s="70">
        <f t="shared" si="22"/>
        <v>0</v>
      </c>
      <c r="BH21" s="70">
        <f t="shared" si="23"/>
        <v>0</v>
      </c>
      <c r="BI21" s="70">
        <f t="shared" si="24"/>
        <v>0</v>
      </c>
      <c r="BJ21" s="78">
        <f t="shared" si="25"/>
        <v>0</v>
      </c>
      <c r="BK21" s="78">
        <f t="shared" si="26"/>
        <v>0</v>
      </c>
      <c r="BL21" s="79">
        <f t="shared" si="27"/>
        <v>0</v>
      </c>
    </row>
    <row r="22" spans="1:64" outlineLevel="1">
      <c r="A22" s="238"/>
      <c r="B22" s="261"/>
      <c r="C22" s="29" t="s">
        <v>48</v>
      </c>
      <c r="D22" s="49">
        <v>199932</v>
      </c>
      <c r="E22" s="36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1"/>
      <c r="Q22" s="71"/>
      <c r="R22" s="72"/>
      <c r="S22" s="37"/>
      <c r="T22" s="37"/>
      <c r="U22" s="37"/>
      <c r="V22" s="37"/>
      <c r="W22" s="37"/>
      <c r="X22" s="38"/>
      <c r="Y22" s="36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2"/>
      <c r="AK22" s="72"/>
      <c r="AL22" s="72"/>
      <c r="AM22" s="37"/>
      <c r="AN22" s="37"/>
      <c r="AO22" s="37"/>
      <c r="AP22" s="37"/>
      <c r="AQ22" s="37"/>
      <c r="AR22" s="38"/>
      <c r="AS22" s="54"/>
      <c r="AT22" s="112"/>
      <c r="AU22" s="113"/>
      <c r="AV22" s="54"/>
      <c r="AW22" s="112"/>
      <c r="AX22" s="113"/>
      <c r="AY22" s="36">
        <f t="shared" si="0"/>
        <v>0</v>
      </c>
      <c r="AZ22" s="70">
        <f t="shared" si="15"/>
        <v>0</v>
      </c>
      <c r="BA22" s="70">
        <f t="shared" si="16"/>
        <v>0</v>
      </c>
      <c r="BB22" s="70">
        <f t="shared" si="17"/>
        <v>0</v>
      </c>
      <c r="BC22" s="70">
        <f t="shared" si="18"/>
        <v>0</v>
      </c>
      <c r="BD22" s="70">
        <f t="shared" si="19"/>
        <v>0</v>
      </c>
      <c r="BE22" s="70">
        <f t="shared" si="20"/>
        <v>0</v>
      </c>
      <c r="BF22" s="70">
        <f t="shared" si="21"/>
        <v>0</v>
      </c>
      <c r="BG22" s="70">
        <f t="shared" si="22"/>
        <v>0</v>
      </c>
      <c r="BH22" s="70">
        <f t="shared" si="23"/>
        <v>0</v>
      </c>
      <c r="BI22" s="70">
        <f t="shared" si="24"/>
        <v>0</v>
      </c>
      <c r="BJ22" s="78">
        <f t="shared" si="25"/>
        <v>0</v>
      </c>
      <c r="BK22" s="78">
        <f t="shared" si="26"/>
        <v>0</v>
      </c>
      <c r="BL22" s="79">
        <f t="shared" si="27"/>
        <v>0</v>
      </c>
    </row>
    <row r="23" spans="1:64" outlineLevel="1">
      <c r="A23" s="238"/>
      <c r="B23" s="261"/>
      <c r="C23" s="29" t="s">
        <v>49</v>
      </c>
      <c r="D23" s="49">
        <v>199932</v>
      </c>
      <c r="E23" s="36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1"/>
      <c r="Q23" s="71"/>
      <c r="R23" s="72"/>
      <c r="S23" s="37"/>
      <c r="T23" s="37"/>
      <c r="U23" s="37"/>
      <c r="V23" s="37"/>
      <c r="W23" s="37"/>
      <c r="X23" s="38"/>
      <c r="Y23" s="36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2"/>
      <c r="AK23" s="72"/>
      <c r="AL23" s="72"/>
      <c r="AM23" s="37"/>
      <c r="AN23" s="37"/>
      <c r="AO23" s="37"/>
      <c r="AP23" s="37"/>
      <c r="AQ23" s="37"/>
      <c r="AR23" s="38"/>
      <c r="AS23" s="54"/>
      <c r="AT23" s="112"/>
      <c r="AU23" s="113"/>
      <c r="AV23" s="54"/>
      <c r="AW23" s="112"/>
      <c r="AX23" s="113"/>
      <c r="AY23" s="36">
        <f t="shared" si="0"/>
        <v>0</v>
      </c>
      <c r="AZ23" s="70">
        <f t="shared" si="15"/>
        <v>0</v>
      </c>
      <c r="BA23" s="70">
        <f t="shared" si="16"/>
        <v>0</v>
      </c>
      <c r="BB23" s="70">
        <f t="shared" si="17"/>
        <v>0</v>
      </c>
      <c r="BC23" s="70">
        <f t="shared" si="18"/>
        <v>0</v>
      </c>
      <c r="BD23" s="70">
        <f t="shared" si="19"/>
        <v>0</v>
      </c>
      <c r="BE23" s="70">
        <f t="shared" si="20"/>
        <v>0</v>
      </c>
      <c r="BF23" s="70">
        <f t="shared" si="21"/>
        <v>0</v>
      </c>
      <c r="BG23" s="70">
        <f t="shared" si="22"/>
        <v>0</v>
      </c>
      <c r="BH23" s="70">
        <f t="shared" si="23"/>
        <v>0</v>
      </c>
      <c r="BI23" s="70">
        <f t="shared" si="24"/>
        <v>0</v>
      </c>
      <c r="BJ23" s="78">
        <f t="shared" si="25"/>
        <v>0</v>
      </c>
      <c r="BK23" s="78">
        <f t="shared" si="26"/>
        <v>0</v>
      </c>
      <c r="BL23" s="79">
        <f t="shared" si="27"/>
        <v>0</v>
      </c>
    </row>
    <row r="24" spans="1:64" ht="15.75" outlineLevel="1" thickBot="1">
      <c r="A24" s="239"/>
      <c r="B24" s="262"/>
      <c r="C24" s="30" t="s">
        <v>50</v>
      </c>
      <c r="D24" s="50">
        <v>199932</v>
      </c>
      <c r="E24" s="39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4"/>
      <c r="Q24" s="74"/>
      <c r="R24" s="75"/>
      <c r="S24" s="23"/>
      <c r="T24" s="23"/>
      <c r="U24" s="23"/>
      <c r="V24" s="23"/>
      <c r="W24" s="23"/>
      <c r="X24" s="40"/>
      <c r="Y24" s="39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5"/>
      <c r="AK24" s="75"/>
      <c r="AL24" s="75"/>
      <c r="AM24" s="23"/>
      <c r="AN24" s="23"/>
      <c r="AO24" s="23"/>
      <c r="AP24" s="23"/>
      <c r="AQ24" s="23"/>
      <c r="AR24" s="40"/>
      <c r="AS24" s="56"/>
      <c r="AT24" s="114"/>
      <c r="AU24" s="115"/>
      <c r="AV24" s="56"/>
      <c r="AW24" s="114"/>
      <c r="AX24" s="115"/>
      <c r="AY24" s="39">
        <f t="shared" si="0"/>
        <v>0</v>
      </c>
      <c r="AZ24" s="73">
        <f t="shared" si="15"/>
        <v>0</v>
      </c>
      <c r="BA24" s="73">
        <f t="shared" si="16"/>
        <v>0</v>
      </c>
      <c r="BB24" s="73">
        <f t="shared" si="17"/>
        <v>0</v>
      </c>
      <c r="BC24" s="73">
        <f t="shared" si="18"/>
        <v>0</v>
      </c>
      <c r="BD24" s="73">
        <f t="shared" si="19"/>
        <v>0</v>
      </c>
      <c r="BE24" s="73">
        <f t="shared" si="20"/>
        <v>0</v>
      </c>
      <c r="BF24" s="73">
        <f t="shared" si="21"/>
        <v>0</v>
      </c>
      <c r="BG24" s="73">
        <f t="shared" si="22"/>
        <v>0</v>
      </c>
      <c r="BH24" s="73">
        <f t="shared" si="23"/>
        <v>0</v>
      </c>
      <c r="BI24" s="73">
        <f t="shared" si="24"/>
        <v>0</v>
      </c>
      <c r="BJ24" s="80">
        <f t="shared" si="25"/>
        <v>0</v>
      </c>
      <c r="BK24" s="80">
        <f t="shared" si="26"/>
        <v>0</v>
      </c>
      <c r="BL24" s="81">
        <f t="shared" si="27"/>
        <v>0</v>
      </c>
    </row>
    <row r="25" spans="1:64">
      <c r="A25" s="237" t="s">
        <v>1252</v>
      </c>
      <c r="B25" s="260" t="s">
        <v>1246</v>
      </c>
      <c r="C25" s="28" t="s">
        <v>46</v>
      </c>
      <c r="D25" s="48">
        <v>4899964</v>
      </c>
      <c r="E25" s="34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8"/>
      <c r="Q25" s="68"/>
      <c r="R25" s="69"/>
      <c r="S25" s="22"/>
      <c r="T25" s="22"/>
      <c r="U25" s="22"/>
      <c r="V25" s="22"/>
      <c r="W25" s="22"/>
      <c r="X25" s="35"/>
      <c r="Y25" s="34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9"/>
      <c r="AK25" s="69"/>
      <c r="AL25" s="69"/>
      <c r="AM25" s="22"/>
      <c r="AN25" s="22"/>
      <c r="AO25" s="22"/>
      <c r="AP25" s="22"/>
      <c r="AQ25" s="22"/>
      <c r="AR25" s="35"/>
      <c r="AS25" s="53" cm="1">
        <f t="array" ref="AS25">bdRateHermite(F25:F29,P25:P29,Z25:Z29,AJ25:AJ29)</f>
        <v>0</v>
      </c>
      <c r="AT25" s="110" cm="1">
        <f t="array" ref="AT25">bdRateHermite(F25:F29,Q25:Q29,Z25:Z29,AK25:AK29)</f>
        <v>0</v>
      </c>
      <c r="AU25" s="111" cm="1">
        <f t="array" ref="AU25">bdRateHermite(F25:F29,R25:R29,Z25:Z29,AL25:AL29)</f>
        <v>0</v>
      </c>
      <c r="AV25" s="53" cm="1">
        <f t="array" ref="AV25">bdRateHermite(H25:H29,P25:P29,AB25:AB29,AJ25:AJ29)</f>
        <v>0</v>
      </c>
      <c r="AW25" s="110" cm="1">
        <f t="array" ref="AW25">bdRateHermite(H25:H29,Q25:Q29,AB25:AB29,AK25:AK29)</f>
        <v>0</v>
      </c>
      <c r="AX25" s="111" cm="1">
        <f t="array" ref="AX25">bdRateHermite(H25:H29,R25:R29,AB25:AB29,AL25:AL29)</f>
        <v>0</v>
      </c>
      <c r="AY25" s="34">
        <f t="shared" si="0"/>
        <v>0</v>
      </c>
      <c r="AZ25" s="67">
        <f t="shared" si="15"/>
        <v>0</v>
      </c>
      <c r="BA25" s="67">
        <f t="shared" si="16"/>
        <v>0</v>
      </c>
      <c r="BB25" s="67">
        <f t="shared" si="17"/>
        <v>0</v>
      </c>
      <c r="BC25" s="67">
        <f t="shared" si="18"/>
        <v>0</v>
      </c>
      <c r="BD25" s="67">
        <f t="shared" si="19"/>
        <v>0</v>
      </c>
      <c r="BE25" s="67">
        <f t="shared" si="20"/>
        <v>0</v>
      </c>
      <c r="BF25" s="67">
        <f t="shared" si="21"/>
        <v>0</v>
      </c>
      <c r="BG25" s="67">
        <f t="shared" si="22"/>
        <v>0</v>
      </c>
      <c r="BH25" s="67">
        <f t="shared" si="23"/>
        <v>0</v>
      </c>
      <c r="BI25" s="67">
        <f t="shared" si="24"/>
        <v>0</v>
      </c>
      <c r="BJ25" s="76">
        <f t="shared" si="25"/>
        <v>0</v>
      </c>
      <c r="BK25" s="76">
        <f t="shared" si="26"/>
        <v>0</v>
      </c>
      <c r="BL25" s="77">
        <f t="shared" si="27"/>
        <v>0</v>
      </c>
    </row>
    <row r="26" spans="1:64">
      <c r="A26" s="238"/>
      <c r="B26" s="261"/>
      <c r="C26" s="29" t="s">
        <v>47</v>
      </c>
      <c r="D26" s="49">
        <v>4899964</v>
      </c>
      <c r="E26" s="36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1"/>
      <c r="Q26" s="71"/>
      <c r="R26" s="72"/>
      <c r="S26" s="37"/>
      <c r="T26" s="37"/>
      <c r="U26" s="37"/>
      <c r="V26" s="37"/>
      <c r="W26" s="37"/>
      <c r="X26" s="38"/>
      <c r="Y26" s="36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2"/>
      <c r="AK26" s="72"/>
      <c r="AL26" s="72"/>
      <c r="AM26" s="37"/>
      <c r="AN26" s="37"/>
      <c r="AO26" s="37"/>
      <c r="AP26" s="37"/>
      <c r="AQ26" s="37"/>
      <c r="AR26" s="38"/>
      <c r="AS26" s="54"/>
      <c r="AT26" s="112"/>
      <c r="AU26" s="113"/>
      <c r="AV26" s="54"/>
      <c r="AW26" s="112"/>
      <c r="AX26" s="113"/>
      <c r="AY26" s="36">
        <f t="shared" si="0"/>
        <v>0</v>
      </c>
      <c r="AZ26" s="70">
        <f t="shared" si="15"/>
        <v>0</v>
      </c>
      <c r="BA26" s="70">
        <f t="shared" si="16"/>
        <v>0</v>
      </c>
      <c r="BB26" s="70">
        <f t="shared" si="17"/>
        <v>0</v>
      </c>
      <c r="BC26" s="70">
        <f t="shared" si="18"/>
        <v>0</v>
      </c>
      <c r="BD26" s="70">
        <f t="shared" si="19"/>
        <v>0</v>
      </c>
      <c r="BE26" s="70">
        <f t="shared" si="20"/>
        <v>0</v>
      </c>
      <c r="BF26" s="70">
        <f t="shared" si="21"/>
        <v>0</v>
      </c>
      <c r="BG26" s="70">
        <f t="shared" si="22"/>
        <v>0</v>
      </c>
      <c r="BH26" s="70">
        <f t="shared" si="23"/>
        <v>0</v>
      </c>
      <c r="BI26" s="70">
        <f t="shared" si="24"/>
        <v>0</v>
      </c>
      <c r="BJ26" s="78">
        <f t="shared" si="25"/>
        <v>0</v>
      </c>
      <c r="BK26" s="78">
        <f t="shared" si="26"/>
        <v>0</v>
      </c>
      <c r="BL26" s="79">
        <f t="shared" si="27"/>
        <v>0</v>
      </c>
    </row>
    <row r="27" spans="1:64">
      <c r="A27" s="238"/>
      <c r="B27" s="261"/>
      <c r="C27" s="29" t="s">
        <v>48</v>
      </c>
      <c r="D27" s="49">
        <v>4899964</v>
      </c>
      <c r="E27" s="36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1"/>
      <c r="Q27" s="71"/>
      <c r="R27" s="72"/>
      <c r="S27" s="37"/>
      <c r="T27" s="37"/>
      <c r="U27" s="37"/>
      <c r="V27" s="37"/>
      <c r="W27" s="37"/>
      <c r="X27" s="38"/>
      <c r="Y27" s="36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2"/>
      <c r="AK27" s="72"/>
      <c r="AL27" s="72"/>
      <c r="AM27" s="37"/>
      <c r="AN27" s="37"/>
      <c r="AO27" s="37"/>
      <c r="AP27" s="37"/>
      <c r="AQ27" s="37"/>
      <c r="AR27" s="38"/>
      <c r="AS27" s="54"/>
      <c r="AT27" s="112"/>
      <c r="AU27" s="113"/>
      <c r="AV27" s="54"/>
      <c r="AW27" s="112"/>
      <c r="AX27" s="113"/>
      <c r="AY27" s="36">
        <f t="shared" si="0"/>
        <v>0</v>
      </c>
      <c r="AZ27" s="70">
        <f t="shared" si="15"/>
        <v>0</v>
      </c>
      <c r="BA27" s="70">
        <f t="shared" si="16"/>
        <v>0</v>
      </c>
      <c r="BB27" s="70">
        <f t="shared" si="17"/>
        <v>0</v>
      </c>
      <c r="BC27" s="70">
        <f t="shared" si="18"/>
        <v>0</v>
      </c>
      <c r="BD27" s="70">
        <f t="shared" si="19"/>
        <v>0</v>
      </c>
      <c r="BE27" s="70">
        <f t="shared" si="20"/>
        <v>0</v>
      </c>
      <c r="BF27" s="70">
        <f t="shared" si="21"/>
        <v>0</v>
      </c>
      <c r="BG27" s="70">
        <f t="shared" si="22"/>
        <v>0</v>
      </c>
      <c r="BH27" s="70">
        <f t="shared" si="23"/>
        <v>0</v>
      </c>
      <c r="BI27" s="70">
        <f t="shared" si="24"/>
        <v>0</v>
      </c>
      <c r="BJ27" s="78">
        <f t="shared" si="25"/>
        <v>0</v>
      </c>
      <c r="BK27" s="78">
        <f t="shared" si="26"/>
        <v>0</v>
      </c>
      <c r="BL27" s="79">
        <f t="shared" si="27"/>
        <v>0</v>
      </c>
    </row>
    <row r="28" spans="1:64">
      <c r="A28" s="238"/>
      <c r="B28" s="261"/>
      <c r="C28" s="29" t="s">
        <v>49</v>
      </c>
      <c r="D28" s="49">
        <v>4899964</v>
      </c>
      <c r="E28" s="36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1"/>
      <c r="Q28" s="71"/>
      <c r="R28" s="72"/>
      <c r="S28" s="37"/>
      <c r="T28" s="37"/>
      <c r="U28" s="37"/>
      <c r="V28" s="37"/>
      <c r="W28" s="37"/>
      <c r="X28" s="38"/>
      <c r="Y28" s="36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2"/>
      <c r="AK28" s="72"/>
      <c r="AL28" s="72"/>
      <c r="AM28" s="37"/>
      <c r="AN28" s="37"/>
      <c r="AO28" s="37"/>
      <c r="AP28" s="37"/>
      <c r="AQ28" s="37"/>
      <c r="AR28" s="38"/>
      <c r="AS28" s="54"/>
      <c r="AT28" s="112"/>
      <c r="AU28" s="113"/>
      <c r="AV28" s="54"/>
      <c r="AW28" s="112"/>
      <c r="AX28" s="113"/>
      <c r="AY28" s="36">
        <f t="shared" si="0"/>
        <v>0</v>
      </c>
      <c r="AZ28" s="70">
        <f t="shared" si="15"/>
        <v>0</v>
      </c>
      <c r="BA28" s="70">
        <f t="shared" si="16"/>
        <v>0</v>
      </c>
      <c r="BB28" s="70">
        <f t="shared" si="17"/>
        <v>0</v>
      </c>
      <c r="BC28" s="70">
        <f t="shared" si="18"/>
        <v>0</v>
      </c>
      <c r="BD28" s="70">
        <f t="shared" si="19"/>
        <v>0</v>
      </c>
      <c r="BE28" s="70">
        <f t="shared" si="20"/>
        <v>0</v>
      </c>
      <c r="BF28" s="70">
        <f t="shared" si="21"/>
        <v>0</v>
      </c>
      <c r="BG28" s="70">
        <f t="shared" si="22"/>
        <v>0</v>
      </c>
      <c r="BH28" s="70">
        <f t="shared" si="23"/>
        <v>0</v>
      </c>
      <c r="BI28" s="70">
        <f t="shared" si="24"/>
        <v>0</v>
      </c>
      <c r="BJ28" s="78">
        <f t="shared" si="25"/>
        <v>0</v>
      </c>
      <c r="BK28" s="78">
        <f t="shared" si="26"/>
        <v>0</v>
      </c>
      <c r="BL28" s="79">
        <f t="shared" si="27"/>
        <v>0</v>
      </c>
    </row>
    <row r="29" spans="1:64" ht="15.75" thickBot="1">
      <c r="A29" s="238"/>
      <c r="B29" s="262"/>
      <c r="C29" s="30" t="s">
        <v>50</v>
      </c>
      <c r="D29" s="50">
        <v>4899964</v>
      </c>
      <c r="E29" s="39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4"/>
      <c r="Q29" s="74"/>
      <c r="R29" s="75"/>
      <c r="S29" s="23"/>
      <c r="T29" s="23"/>
      <c r="U29" s="23"/>
      <c r="V29" s="23"/>
      <c r="W29" s="23"/>
      <c r="X29" s="40"/>
      <c r="Y29" s="39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5"/>
      <c r="AK29" s="75"/>
      <c r="AL29" s="75"/>
      <c r="AM29" s="23"/>
      <c r="AN29" s="23"/>
      <c r="AO29" s="23"/>
      <c r="AP29" s="23"/>
      <c r="AQ29" s="23"/>
      <c r="AR29" s="40"/>
      <c r="AS29" s="56"/>
      <c r="AT29" s="114"/>
      <c r="AU29" s="115"/>
      <c r="AV29" s="56"/>
      <c r="AW29" s="114"/>
      <c r="AX29" s="115"/>
      <c r="AY29" s="39">
        <f t="shared" si="0"/>
        <v>0</v>
      </c>
      <c r="AZ29" s="73">
        <f t="shared" si="15"/>
        <v>0</v>
      </c>
      <c r="BA29" s="73">
        <f t="shared" si="16"/>
        <v>0</v>
      </c>
      <c r="BB29" s="73">
        <f t="shared" si="17"/>
        <v>0</v>
      </c>
      <c r="BC29" s="73">
        <f t="shared" si="18"/>
        <v>0</v>
      </c>
      <c r="BD29" s="73">
        <f t="shared" si="19"/>
        <v>0</v>
      </c>
      <c r="BE29" s="73">
        <f t="shared" si="20"/>
        <v>0</v>
      </c>
      <c r="BF29" s="73">
        <f t="shared" si="21"/>
        <v>0</v>
      </c>
      <c r="BG29" s="73">
        <f t="shared" si="22"/>
        <v>0</v>
      </c>
      <c r="BH29" s="73">
        <f t="shared" si="23"/>
        <v>0</v>
      </c>
      <c r="BI29" s="73">
        <f t="shared" si="24"/>
        <v>0</v>
      </c>
      <c r="BJ29" s="80">
        <f t="shared" si="25"/>
        <v>0</v>
      </c>
      <c r="BK29" s="80">
        <f t="shared" si="26"/>
        <v>0</v>
      </c>
      <c r="BL29" s="81">
        <f t="shared" si="27"/>
        <v>0</v>
      </c>
    </row>
    <row r="30" spans="1:64">
      <c r="A30" s="238"/>
      <c r="B30" s="260" t="s">
        <v>1247</v>
      </c>
      <c r="C30" s="28" t="s">
        <v>46</v>
      </c>
      <c r="D30" s="48">
        <v>4086843</v>
      </c>
      <c r="E30" s="34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8"/>
      <c r="Q30" s="68"/>
      <c r="R30" s="69"/>
      <c r="S30" s="22"/>
      <c r="T30" s="22"/>
      <c r="U30" s="22"/>
      <c r="V30" s="22"/>
      <c r="W30" s="22"/>
      <c r="X30" s="35"/>
      <c r="Y30" s="34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9"/>
      <c r="AK30" s="69"/>
      <c r="AL30" s="69"/>
      <c r="AM30" s="22"/>
      <c r="AN30" s="22"/>
      <c r="AO30" s="22"/>
      <c r="AP30" s="22"/>
      <c r="AQ30" s="22"/>
      <c r="AR30" s="35"/>
      <c r="AS30" s="53" cm="1">
        <f t="array" ref="AS30">bdRateHermite(F30:F34,P30:P34,Z30:Z34,AJ30:AJ34)</f>
        <v>0</v>
      </c>
      <c r="AT30" s="110" cm="1">
        <f t="array" ref="AT30">bdRateHermite(F30:F34,Q30:Q34,Z30:Z34,AK30:AK34)</f>
        <v>0</v>
      </c>
      <c r="AU30" s="111" cm="1">
        <f t="array" ref="AU30">bdRateHermite(F30:F34,R30:R34,Z30:Z34,AL30:AL34)</f>
        <v>0</v>
      </c>
      <c r="AV30" s="53" cm="1">
        <f t="array" ref="AV30">bdRateHermite(H30:H34,P30:P34,AB30:AB34,AJ30:AJ34)</f>
        <v>0</v>
      </c>
      <c r="AW30" s="110" cm="1">
        <f t="array" ref="AW30">bdRateHermite(H30:H34,Q30:Q34,AB30:AB34,AK30:AK34)</f>
        <v>0</v>
      </c>
      <c r="AX30" s="111" cm="1">
        <f t="array" ref="AX30">bdRateHermite(H30:H34,R30:R34,AB30:AB34,AL30:AL34)</f>
        <v>0</v>
      </c>
      <c r="AY30" s="34">
        <f t="shared" si="0"/>
        <v>0</v>
      </c>
      <c r="AZ30" s="67">
        <f t="shared" si="15"/>
        <v>0</v>
      </c>
      <c r="BA30" s="67">
        <f t="shared" si="16"/>
        <v>0</v>
      </c>
      <c r="BB30" s="67">
        <f t="shared" si="17"/>
        <v>0</v>
      </c>
      <c r="BC30" s="67">
        <f t="shared" si="18"/>
        <v>0</v>
      </c>
      <c r="BD30" s="67">
        <f t="shared" si="19"/>
        <v>0</v>
      </c>
      <c r="BE30" s="67">
        <f t="shared" si="20"/>
        <v>0</v>
      </c>
      <c r="BF30" s="67">
        <f t="shared" si="21"/>
        <v>0</v>
      </c>
      <c r="BG30" s="67">
        <f t="shared" si="22"/>
        <v>0</v>
      </c>
      <c r="BH30" s="67">
        <f t="shared" si="23"/>
        <v>0</v>
      </c>
      <c r="BI30" s="67">
        <f t="shared" si="24"/>
        <v>0</v>
      </c>
      <c r="BJ30" s="76">
        <f t="shared" si="25"/>
        <v>0</v>
      </c>
      <c r="BK30" s="76">
        <f t="shared" si="26"/>
        <v>0</v>
      </c>
      <c r="BL30" s="77">
        <f t="shared" si="27"/>
        <v>0</v>
      </c>
    </row>
    <row r="31" spans="1:64">
      <c r="A31" s="238"/>
      <c r="B31" s="261"/>
      <c r="C31" s="29" t="s">
        <v>47</v>
      </c>
      <c r="D31" s="49">
        <v>4086843</v>
      </c>
      <c r="E31" s="36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1"/>
      <c r="Q31" s="71"/>
      <c r="R31" s="72"/>
      <c r="S31" s="37"/>
      <c r="T31" s="37"/>
      <c r="U31" s="37"/>
      <c r="V31" s="37"/>
      <c r="W31" s="37"/>
      <c r="X31" s="38"/>
      <c r="Y31" s="36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2"/>
      <c r="AK31" s="72"/>
      <c r="AL31" s="72"/>
      <c r="AM31" s="37"/>
      <c r="AN31" s="37"/>
      <c r="AO31" s="37"/>
      <c r="AP31" s="37"/>
      <c r="AQ31" s="37"/>
      <c r="AR31" s="38"/>
      <c r="AS31" s="54"/>
      <c r="AT31" s="112"/>
      <c r="AU31" s="113"/>
      <c r="AV31" s="54"/>
      <c r="AW31" s="112"/>
      <c r="AX31" s="113"/>
      <c r="AY31" s="36">
        <f t="shared" si="0"/>
        <v>0</v>
      </c>
      <c r="AZ31" s="70">
        <f t="shared" si="15"/>
        <v>0</v>
      </c>
      <c r="BA31" s="70">
        <f t="shared" si="16"/>
        <v>0</v>
      </c>
      <c r="BB31" s="70">
        <f t="shared" si="17"/>
        <v>0</v>
      </c>
      <c r="BC31" s="70">
        <f t="shared" si="18"/>
        <v>0</v>
      </c>
      <c r="BD31" s="70">
        <f t="shared" si="19"/>
        <v>0</v>
      </c>
      <c r="BE31" s="70">
        <f t="shared" si="20"/>
        <v>0</v>
      </c>
      <c r="BF31" s="70">
        <f t="shared" si="21"/>
        <v>0</v>
      </c>
      <c r="BG31" s="70">
        <f t="shared" si="22"/>
        <v>0</v>
      </c>
      <c r="BH31" s="70">
        <f t="shared" si="23"/>
        <v>0</v>
      </c>
      <c r="BI31" s="70">
        <f t="shared" si="24"/>
        <v>0</v>
      </c>
      <c r="BJ31" s="78">
        <f t="shared" si="25"/>
        <v>0</v>
      </c>
      <c r="BK31" s="78">
        <f t="shared" si="26"/>
        <v>0</v>
      </c>
      <c r="BL31" s="79">
        <f t="shared" si="27"/>
        <v>0</v>
      </c>
    </row>
    <row r="32" spans="1:64">
      <c r="A32" s="238"/>
      <c r="B32" s="261"/>
      <c r="C32" s="29" t="s">
        <v>48</v>
      </c>
      <c r="D32" s="49">
        <v>4086843</v>
      </c>
      <c r="E32" s="36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1"/>
      <c r="Q32" s="71"/>
      <c r="R32" s="72"/>
      <c r="S32" s="37"/>
      <c r="T32" s="37"/>
      <c r="U32" s="37"/>
      <c r="V32" s="37"/>
      <c r="W32" s="37"/>
      <c r="X32" s="38"/>
      <c r="Y32" s="36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2"/>
      <c r="AK32" s="72"/>
      <c r="AL32" s="72"/>
      <c r="AM32" s="37"/>
      <c r="AN32" s="37"/>
      <c r="AO32" s="37"/>
      <c r="AP32" s="37"/>
      <c r="AQ32" s="37"/>
      <c r="AR32" s="38"/>
      <c r="AS32" s="54"/>
      <c r="AT32" s="112"/>
      <c r="AU32" s="113"/>
      <c r="AV32" s="54"/>
      <c r="AW32" s="112"/>
      <c r="AX32" s="113"/>
      <c r="AY32" s="36">
        <f t="shared" si="0"/>
        <v>0</v>
      </c>
      <c r="AZ32" s="70">
        <f t="shared" si="15"/>
        <v>0</v>
      </c>
      <c r="BA32" s="70">
        <f t="shared" si="16"/>
        <v>0</v>
      </c>
      <c r="BB32" s="70">
        <f t="shared" si="17"/>
        <v>0</v>
      </c>
      <c r="BC32" s="70">
        <f t="shared" si="18"/>
        <v>0</v>
      </c>
      <c r="BD32" s="70">
        <f t="shared" si="19"/>
        <v>0</v>
      </c>
      <c r="BE32" s="70">
        <f t="shared" si="20"/>
        <v>0</v>
      </c>
      <c r="BF32" s="70">
        <f t="shared" si="21"/>
        <v>0</v>
      </c>
      <c r="BG32" s="70">
        <f t="shared" si="22"/>
        <v>0</v>
      </c>
      <c r="BH32" s="70">
        <f t="shared" si="23"/>
        <v>0</v>
      </c>
      <c r="BI32" s="70">
        <f t="shared" si="24"/>
        <v>0</v>
      </c>
      <c r="BJ32" s="78">
        <f t="shared" si="25"/>
        <v>0</v>
      </c>
      <c r="BK32" s="78">
        <f t="shared" si="26"/>
        <v>0</v>
      </c>
      <c r="BL32" s="79">
        <f t="shared" si="27"/>
        <v>0</v>
      </c>
    </row>
    <row r="33" spans="1:64">
      <c r="A33" s="238"/>
      <c r="B33" s="261"/>
      <c r="C33" s="29" t="s">
        <v>49</v>
      </c>
      <c r="D33" s="49">
        <v>4086843</v>
      </c>
      <c r="E33" s="36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1"/>
      <c r="Q33" s="71"/>
      <c r="R33" s="72"/>
      <c r="S33" s="37"/>
      <c r="T33" s="37"/>
      <c r="U33" s="37"/>
      <c r="V33" s="37"/>
      <c r="W33" s="37"/>
      <c r="X33" s="38"/>
      <c r="Y33" s="36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2"/>
      <c r="AK33" s="72"/>
      <c r="AL33" s="72"/>
      <c r="AM33" s="37"/>
      <c r="AN33" s="37"/>
      <c r="AO33" s="37"/>
      <c r="AP33" s="37"/>
      <c r="AQ33" s="37"/>
      <c r="AR33" s="38"/>
      <c r="AS33" s="54"/>
      <c r="AT33" s="112"/>
      <c r="AU33" s="113"/>
      <c r="AV33" s="54"/>
      <c r="AW33" s="112"/>
      <c r="AX33" s="113"/>
      <c r="AY33" s="36">
        <f t="shared" si="0"/>
        <v>0</v>
      </c>
      <c r="AZ33" s="70">
        <f t="shared" si="15"/>
        <v>0</v>
      </c>
      <c r="BA33" s="70">
        <f t="shared" si="16"/>
        <v>0</v>
      </c>
      <c r="BB33" s="70">
        <f t="shared" si="17"/>
        <v>0</v>
      </c>
      <c r="BC33" s="70">
        <f t="shared" si="18"/>
        <v>0</v>
      </c>
      <c r="BD33" s="70">
        <f t="shared" si="19"/>
        <v>0</v>
      </c>
      <c r="BE33" s="70">
        <f t="shared" si="20"/>
        <v>0</v>
      </c>
      <c r="BF33" s="70">
        <f t="shared" si="21"/>
        <v>0</v>
      </c>
      <c r="BG33" s="70">
        <f t="shared" si="22"/>
        <v>0</v>
      </c>
      <c r="BH33" s="70">
        <f t="shared" si="23"/>
        <v>0</v>
      </c>
      <c r="BI33" s="70">
        <f t="shared" si="24"/>
        <v>0</v>
      </c>
      <c r="BJ33" s="78">
        <f t="shared" si="25"/>
        <v>0</v>
      </c>
      <c r="BK33" s="78">
        <f t="shared" si="26"/>
        <v>0</v>
      </c>
      <c r="BL33" s="79">
        <f t="shared" si="27"/>
        <v>0</v>
      </c>
    </row>
    <row r="34" spans="1:64" ht="15.75" thickBot="1">
      <c r="A34" s="238"/>
      <c r="B34" s="262"/>
      <c r="C34" s="30" t="s">
        <v>50</v>
      </c>
      <c r="D34" s="50">
        <v>4086843</v>
      </c>
      <c r="E34" s="39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4"/>
      <c r="Q34" s="74"/>
      <c r="R34" s="75"/>
      <c r="S34" s="23"/>
      <c r="T34" s="23"/>
      <c r="U34" s="23"/>
      <c r="V34" s="23"/>
      <c r="W34" s="23"/>
      <c r="X34" s="40"/>
      <c r="Y34" s="39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5"/>
      <c r="AK34" s="75"/>
      <c r="AL34" s="75"/>
      <c r="AM34" s="23"/>
      <c r="AN34" s="23"/>
      <c r="AO34" s="23"/>
      <c r="AP34" s="23"/>
      <c r="AQ34" s="23"/>
      <c r="AR34" s="40"/>
      <c r="AS34" s="56"/>
      <c r="AT34" s="114"/>
      <c r="AU34" s="115"/>
      <c r="AV34" s="56"/>
      <c r="AW34" s="114"/>
      <c r="AX34" s="115"/>
      <c r="AY34" s="39">
        <f t="shared" si="0"/>
        <v>0</v>
      </c>
      <c r="AZ34" s="73">
        <f t="shared" si="15"/>
        <v>0</v>
      </c>
      <c r="BA34" s="73">
        <f t="shared" si="16"/>
        <v>0</v>
      </c>
      <c r="BB34" s="73">
        <f t="shared" si="17"/>
        <v>0</v>
      </c>
      <c r="BC34" s="73">
        <f t="shared" si="18"/>
        <v>0</v>
      </c>
      <c r="BD34" s="73">
        <f t="shared" si="19"/>
        <v>0</v>
      </c>
      <c r="BE34" s="73">
        <f t="shared" si="20"/>
        <v>0</v>
      </c>
      <c r="BF34" s="73">
        <f t="shared" si="21"/>
        <v>0</v>
      </c>
      <c r="BG34" s="73">
        <f t="shared" si="22"/>
        <v>0</v>
      </c>
      <c r="BH34" s="73">
        <f t="shared" si="23"/>
        <v>0</v>
      </c>
      <c r="BI34" s="73">
        <f t="shared" si="24"/>
        <v>0</v>
      </c>
      <c r="BJ34" s="80">
        <f t="shared" si="25"/>
        <v>0</v>
      </c>
      <c r="BK34" s="80">
        <f t="shared" si="26"/>
        <v>0</v>
      </c>
      <c r="BL34" s="81">
        <f t="shared" si="27"/>
        <v>0</v>
      </c>
    </row>
    <row r="35" spans="1:64">
      <c r="A35" s="238"/>
      <c r="B35" s="260" t="s">
        <v>1317</v>
      </c>
      <c r="C35" s="28" t="s">
        <v>46</v>
      </c>
      <c r="D35" s="48">
        <v>1999154</v>
      </c>
      <c r="E35" s="34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8"/>
      <c r="Q35" s="68"/>
      <c r="R35" s="69"/>
      <c r="S35" s="22"/>
      <c r="T35" s="22"/>
      <c r="U35" s="22"/>
      <c r="V35" s="22"/>
      <c r="W35" s="22"/>
      <c r="X35" s="35"/>
      <c r="Y35" s="34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9"/>
      <c r="AK35" s="69"/>
      <c r="AL35" s="69"/>
      <c r="AM35" s="22"/>
      <c r="AN35" s="22"/>
      <c r="AO35" s="22"/>
      <c r="AP35" s="22"/>
      <c r="AQ35" s="22"/>
      <c r="AR35" s="35"/>
      <c r="AS35" s="53" cm="1">
        <f t="array" ref="AS35">bdRateHermite(F35:F39,P35:P39,Z35:Z39,AJ35:AJ39)</f>
        <v>0</v>
      </c>
      <c r="AT35" s="110" cm="1">
        <f t="array" ref="AT35">bdRateHermite(F35:F39,Q35:Q39,Z35:Z39,AK35:AK39)</f>
        <v>0</v>
      </c>
      <c r="AU35" s="111" cm="1">
        <f t="array" ref="AU35">bdRateHermite(F35:F39,R35:R39,Z35:Z39,AL35:AL39)</f>
        <v>0</v>
      </c>
      <c r="AV35" s="53" cm="1">
        <f t="array" ref="AV35">bdRateHermite(H35:H39,P35:P39,AB35:AB39,AJ35:AJ39)</f>
        <v>0</v>
      </c>
      <c r="AW35" s="110" cm="1">
        <f t="array" ref="AW35">bdRateHermite(H35:H39,Q35:Q39,AB35:AB39,AK35:AK39)</f>
        <v>0</v>
      </c>
      <c r="AX35" s="111" cm="1">
        <f t="array" ref="AX35">bdRateHermite(H35:H39,R35:R39,AB35:AB39,AL35:AL39)</f>
        <v>0</v>
      </c>
      <c r="AY35" s="34">
        <f t="shared" si="0"/>
        <v>0</v>
      </c>
      <c r="AZ35" s="67">
        <f t="shared" si="15"/>
        <v>0</v>
      </c>
      <c r="BA35" s="67">
        <f t="shared" si="16"/>
        <v>0</v>
      </c>
      <c r="BB35" s="67">
        <f t="shared" si="17"/>
        <v>0</v>
      </c>
      <c r="BC35" s="67">
        <f t="shared" si="18"/>
        <v>0</v>
      </c>
      <c r="BD35" s="67">
        <f t="shared" si="19"/>
        <v>0</v>
      </c>
      <c r="BE35" s="67">
        <f t="shared" si="20"/>
        <v>0</v>
      </c>
      <c r="BF35" s="67">
        <f t="shared" si="21"/>
        <v>0</v>
      </c>
      <c r="BG35" s="67">
        <f t="shared" si="22"/>
        <v>0</v>
      </c>
      <c r="BH35" s="67">
        <f t="shared" si="23"/>
        <v>0</v>
      </c>
      <c r="BI35" s="67">
        <f t="shared" si="24"/>
        <v>0</v>
      </c>
      <c r="BJ35" s="76">
        <f t="shared" si="25"/>
        <v>0</v>
      </c>
      <c r="BK35" s="76">
        <f t="shared" si="26"/>
        <v>0</v>
      </c>
      <c r="BL35" s="77">
        <f t="shared" si="27"/>
        <v>0</v>
      </c>
    </row>
    <row r="36" spans="1:64">
      <c r="A36" s="238"/>
      <c r="B36" s="261"/>
      <c r="C36" s="29" t="s">
        <v>47</v>
      </c>
      <c r="D36" s="49">
        <v>1999154</v>
      </c>
      <c r="E36" s="36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1"/>
      <c r="Q36" s="71"/>
      <c r="R36" s="72"/>
      <c r="S36" s="37"/>
      <c r="T36" s="37"/>
      <c r="U36" s="37"/>
      <c r="V36" s="37"/>
      <c r="W36" s="37"/>
      <c r="X36" s="38"/>
      <c r="Y36" s="36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2"/>
      <c r="AK36" s="72"/>
      <c r="AL36" s="72"/>
      <c r="AM36" s="37"/>
      <c r="AN36" s="37"/>
      <c r="AO36" s="37"/>
      <c r="AP36" s="37"/>
      <c r="AQ36" s="37"/>
      <c r="AR36" s="38"/>
      <c r="AS36" s="54"/>
      <c r="AT36" s="112"/>
      <c r="AU36" s="113"/>
      <c r="AV36" s="54"/>
      <c r="AW36" s="112"/>
      <c r="AX36" s="113"/>
      <c r="AY36" s="36">
        <f t="shared" si="0"/>
        <v>0</v>
      </c>
      <c r="AZ36" s="70">
        <f t="shared" si="15"/>
        <v>0</v>
      </c>
      <c r="BA36" s="70">
        <f t="shared" si="16"/>
        <v>0</v>
      </c>
      <c r="BB36" s="70">
        <f t="shared" si="17"/>
        <v>0</v>
      </c>
      <c r="BC36" s="70">
        <f t="shared" si="18"/>
        <v>0</v>
      </c>
      <c r="BD36" s="70">
        <f t="shared" si="19"/>
        <v>0</v>
      </c>
      <c r="BE36" s="70">
        <f t="shared" si="20"/>
        <v>0</v>
      </c>
      <c r="BF36" s="70">
        <f t="shared" si="21"/>
        <v>0</v>
      </c>
      <c r="BG36" s="70">
        <f t="shared" si="22"/>
        <v>0</v>
      </c>
      <c r="BH36" s="70">
        <f t="shared" si="23"/>
        <v>0</v>
      </c>
      <c r="BI36" s="70">
        <f t="shared" si="24"/>
        <v>0</v>
      </c>
      <c r="BJ36" s="78">
        <f t="shared" si="25"/>
        <v>0</v>
      </c>
      <c r="BK36" s="78">
        <f t="shared" si="26"/>
        <v>0</v>
      </c>
      <c r="BL36" s="79">
        <f t="shared" si="27"/>
        <v>0</v>
      </c>
    </row>
    <row r="37" spans="1:64">
      <c r="A37" s="238"/>
      <c r="B37" s="261"/>
      <c r="C37" s="29" t="s">
        <v>48</v>
      </c>
      <c r="D37" s="49">
        <v>1999154</v>
      </c>
      <c r="E37" s="36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1"/>
      <c r="Q37" s="71"/>
      <c r="R37" s="72"/>
      <c r="S37" s="37"/>
      <c r="T37" s="37"/>
      <c r="U37" s="37"/>
      <c r="V37" s="37"/>
      <c r="W37" s="37"/>
      <c r="X37" s="38"/>
      <c r="Y37" s="36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2"/>
      <c r="AK37" s="72"/>
      <c r="AL37" s="72"/>
      <c r="AM37" s="37"/>
      <c r="AN37" s="37"/>
      <c r="AO37" s="37"/>
      <c r="AP37" s="37"/>
      <c r="AQ37" s="37"/>
      <c r="AR37" s="38"/>
      <c r="AS37" s="54"/>
      <c r="AT37" s="112"/>
      <c r="AU37" s="113"/>
      <c r="AV37" s="54"/>
      <c r="AW37" s="112"/>
      <c r="AX37" s="113"/>
      <c r="AY37" s="36">
        <f t="shared" si="0"/>
        <v>0</v>
      </c>
      <c r="AZ37" s="70">
        <f t="shared" si="15"/>
        <v>0</v>
      </c>
      <c r="BA37" s="70">
        <f t="shared" si="16"/>
        <v>0</v>
      </c>
      <c r="BB37" s="70">
        <f t="shared" si="17"/>
        <v>0</v>
      </c>
      <c r="BC37" s="70">
        <f t="shared" si="18"/>
        <v>0</v>
      </c>
      <c r="BD37" s="70">
        <f t="shared" si="19"/>
        <v>0</v>
      </c>
      <c r="BE37" s="70">
        <f t="shared" si="20"/>
        <v>0</v>
      </c>
      <c r="BF37" s="70">
        <f t="shared" si="21"/>
        <v>0</v>
      </c>
      <c r="BG37" s="70">
        <f t="shared" si="22"/>
        <v>0</v>
      </c>
      <c r="BH37" s="70">
        <f t="shared" si="23"/>
        <v>0</v>
      </c>
      <c r="BI37" s="70">
        <f t="shared" si="24"/>
        <v>0</v>
      </c>
      <c r="BJ37" s="78">
        <f t="shared" si="25"/>
        <v>0</v>
      </c>
      <c r="BK37" s="78">
        <f t="shared" si="26"/>
        <v>0</v>
      </c>
      <c r="BL37" s="79">
        <f t="shared" si="27"/>
        <v>0</v>
      </c>
    </row>
    <row r="38" spans="1:64">
      <c r="A38" s="238"/>
      <c r="B38" s="261"/>
      <c r="C38" s="29" t="s">
        <v>49</v>
      </c>
      <c r="D38" s="49">
        <v>1999154</v>
      </c>
      <c r="E38" s="36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1"/>
      <c r="Q38" s="71"/>
      <c r="R38" s="72"/>
      <c r="S38" s="37"/>
      <c r="T38" s="37"/>
      <c r="U38" s="37"/>
      <c r="V38" s="37"/>
      <c r="W38" s="37"/>
      <c r="X38" s="38"/>
      <c r="Y38" s="36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2"/>
      <c r="AK38" s="72"/>
      <c r="AL38" s="72"/>
      <c r="AM38" s="37"/>
      <c r="AN38" s="37"/>
      <c r="AO38" s="37"/>
      <c r="AP38" s="37"/>
      <c r="AQ38" s="37"/>
      <c r="AR38" s="38"/>
      <c r="AS38" s="54"/>
      <c r="AT38" s="112"/>
      <c r="AU38" s="113"/>
      <c r="AV38" s="54"/>
      <c r="AW38" s="112"/>
      <c r="AX38" s="113"/>
      <c r="AY38" s="36">
        <f t="shared" si="0"/>
        <v>0</v>
      </c>
      <c r="AZ38" s="70">
        <f t="shared" si="15"/>
        <v>0</v>
      </c>
      <c r="BA38" s="70">
        <f t="shared" si="16"/>
        <v>0</v>
      </c>
      <c r="BB38" s="70">
        <f t="shared" si="17"/>
        <v>0</v>
      </c>
      <c r="BC38" s="70">
        <f t="shared" si="18"/>
        <v>0</v>
      </c>
      <c r="BD38" s="70">
        <f t="shared" si="19"/>
        <v>0</v>
      </c>
      <c r="BE38" s="70">
        <f t="shared" si="20"/>
        <v>0</v>
      </c>
      <c r="BF38" s="70">
        <f t="shared" si="21"/>
        <v>0</v>
      </c>
      <c r="BG38" s="70">
        <f t="shared" si="22"/>
        <v>0</v>
      </c>
      <c r="BH38" s="70">
        <f t="shared" si="23"/>
        <v>0</v>
      </c>
      <c r="BI38" s="70">
        <f t="shared" si="24"/>
        <v>0</v>
      </c>
      <c r="BJ38" s="78">
        <f t="shared" si="25"/>
        <v>0</v>
      </c>
      <c r="BK38" s="78">
        <f t="shared" si="26"/>
        <v>0</v>
      </c>
      <c r="BL38" s="79">
        <f t="shared" si="27"/>
        <v>0</v>
      </c>
    </row>
    <row r="39" spans="1:64" ht="15.75" thickBot="1">
      <c r="A39" s="238"/>
      <c r="B39" s="262"/>
      <c r="C39" s="30" t="s">
        <v>50</v>
      </c>
      <c r="D39" s="50">
        <v>1999154</v>
      </c>
      <c r="E39" s="39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4"/>
      <c r="Q39" s="74"/>
      <c r="R39" s="75"/>
      <c r="S39" s="23"/>
      <c r="T39" s="23"/>
      <c r="U39" s="23"/>
      <c r="V39" s="23"/>
      <c r="W39" s="23"/>
      <c r="X39" s="40"/>
      <c r="Y39" s="39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5"/>
      <c r="AK39" s="75"/>
      <c r="AL39" s="75"/>
      <c r="AM39" s="23"/>
      <c r="AN39" s="23"/>
      <c r="AO39" s="23"/>
      <c r="AP39" s="23"/>
      <c r="AQ39" s="23"/>
      <c r="AR39" s="40"/>
      <c r="AS39" s="56"/>
      <c r="AT39" s="114"/>
      <c r="AU39" s="115"/>
      <c r="AV39" s="56"/>
      <c r="AW39" s="114"/>
      <c r="AX39" s="115"/>
      <c r="AY39" s="39">
        <f t="shared" si="0"/>
        <v>0</v>
      </c>
      <c r="AZ39" s="73">
        <f t="shared" si="15"/>
        <v>0</v>
      </c>
      <c r="BA39" s="73">
        <f t="shared" si="16"/>
        <v>0</v>
      </c>
      <c r="BB39" s="73">
        <f t="shared" si="17"/>
        <v>0</v>
      </c>
      <c r="BC39" s="73">
        <f t="shared" si="18"/>
        <v>0</v>
      </c>
      <c r="BD39" s="73">
        <f t="shared" si="19"/>
        <v>0</v>
      </c>
      <c r="BE39" s="73">
        <f t="shared" si="20"/>
        <v>0</v>
      </c>
      <c r="BF39" s="73">
        <f t="shared" si="21"/>
        <v>0</v>
      </c>
      <c r="BG39" s="73">
        <f t="shared" si="22"/>
        <v>0</v>
      </c>
      <c r="BH39" s="73">
        <f t="shared" si="23"/>
        <v>0</v>
      </c>
      <c r="BI39" s="73">
        <f t="shared" si="24"/>
        <v>0</v>
      </c>
      <c r="BJ39" s="80">
        <f t="shared" si="25"/>
        <v>0</v>
      </c>
      <c r="BK39" s="80">
        <f t="shared" si="26"/>
        <v>0</v>
      </c>
      <c r="BL39" s="81">
        <f t="shared" si="27"/>
        <v>0</v>
      </c>
    </row>
    <row r="40" spans="1:64">
      <c r="A40" s="238"/>
      <c r="B40" s="260" t="s">
        <v>1318</v>
      </c>
      <c r="C40" s="28" t="s">
        <v>46</v>
      </c>
      <c r="D40" s="48">
        <v>1855373</v>
      </c>
      <c r="E40" s="34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8"/>
      <c r="Q40" s="68"/>
      <c r="R40" s="69"/>
      <c r="S40" s="22"/>
      <c r="T40" s="22"/>
      <c r="U40" s="22"/>
      <c r="V40" s="22"/>
      <c r="W40" s="22"/>
      <c r="X40" s="35"/>
      <c r="Y40" s="34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9"/>
      <c r="AK40" s="69"/>
      <c r="AL40" s="69"/>
      <c r="AM40" s="22"/>
      <c r="AN40" s="22"/>
      <c r="AO40" s="22"/>
      <c r="AP40" s="22"/>
      <c r="AQ40" s="22"/>
      <c r="AR40" s="35"/>
      <c r="AS40" s="53" cm="1">
        <f t="array" ref="AS40">bdRateHermite(F40:F44,P40:P44,Z40:Z44,AJ40:AJ44)</f>
        <v>0</v>
      </c>
      <c r="AT40" s="110" cm="1">
        <f t="array" ref="AT40">bdRateHermite(F40:F44,Q40:Q44,Z40:Z44,AK40:AK44)</f>
        <v>0</v>
      </c>
      <c r="AU40" s="111" cm="1">
        <f t="array" ref="AU40">bdRateHermite(F40:F44,R40:R44,Z40:Z44,AL40:AL44)</f>
        <v>0</v>
      </c>
      <c r="AV40" s="53" cm="1">
        <f t="array" ref="AV40">bdRateHermite(H40:H44,P40:P44,AB40:AB44,AJ40:AJ44)</f>
        <v>0</v>
      </c>
      <c r="AW40" s="110" cm="1">
        <f t="array" ref="AW40">bdRateHermite(H40:H44,Q40:Q44,AB40:AB44,AK40:AK44)</f>
        <v>0</v>
      </c>
      <c r="AX40" s="111" cm="1">
        <f t="array" ref="AX40">bdRateHermite(H40:H44,R40:R44,AB40:AB44,AL40:AL44)</f>
        <v>0</v>
      </c>
      <c r="AY40" s="34">
        <f t="shared" si="0"/>
        <v>0</v>
      </c>
      <c r="AZ40" s="67">
        <f t="shared" si="15"/>
        <v>0</v>
      </c>
      <c r="BA40" s="67">
        <f t="shared" si="16"/>
        <v>0</v>
      </c>
      <c r="BB40" s="67">
        <f t="shared" si="17"/>
        <v>0</v>
      </c>
      <c r="BC40" s="67">
        <f t="shared" si="18"/>
        <v>0</v>
      </c>
      <c r="BD40" s="67">
        <f t="shared" si="19"/>
        <v>0</v>
      </c>
      <c r="BE40" s="67">
        <f t="shared" si="20"/>
        <v>0</v>
      </c>
      <c r="BF40" s="67">
        <f t="shared" si="21"/>
        <v>0</v>
      </c>
      <c r="BG40" s="67">
        <f t="shared" si="22"/>
        <v>0</v>
      </c>
      <c r="BH40" s="67">
        <f t="shared" si="23"/>
        <v>0</v>
      </c>
      <c r="BI40" s="67">
        <f t="shared" si="24"/>
        <v>0</v>
      </c>
      <c r="BJ40" s="76">
        <f t="shared" si="25"/>
        <v>0</v>
      </c>
      <c r="BK40" s="76">
        <f t="shared" si="26"/>
        <v>0</v>
      </c>
      <c r="BL40" s="77">
        <f t="shared" si="27"/>
        <v>0</v>
      </c>
    </row>
    <row r="41" spans="1:64">
      <c r="A41" s="238"/>
      <c r="B41" s="261"/>
      <c r="C41" s="29" t="s">
        <v>47</v>
      </c>
      <c r="D41" s="49">
        <v>1855373</v>
      </c>
      <c r="E41" s="36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1"/>
      <c r="Q41" s="71"/>
      <c r="R41" s="72"/>
      <c r="S41" s="37"/>
      <c r="T41" s="37"/>
      <c r="U41" s="37"/>
      <c r="V41" s="37"/>
      <c r="W41" s="37"/>
      <c r="X41" s="38"/>
      <c r="Y41" s="36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2"/>
      <c r="AK41" s="72"/>
      <c r="AL41" s="72"/>
      <c r="AM41" s="37"/>
      <c r="AN41" s="37"/>
      <c r="AO41" s="37"/>
      <c r="AP41" s="37"/>
      <c r="AQ41" s="37"/>
      <c r="AR41" s="38"/>
      <c r="AS41" s="54"/>
      <c r="AT41" s="112"/>
      <c r="AU41" s="113"/>
      <c r="AV41" s="54"/>
      <c r="AW41" s="112"/>
      <c r="AX41" s="113"/>
      <c r="AY41" s="36">
        <f t="shared" si="0"/>
        <v>0</v>
      </c>
      <c r="AZ41" s="70">
        <f t="shared" si="15"/>
        <v>0</v>
      </c>
      <c r="BA41" s="70">
        <f t="shared" si="16"/>
        <v>0</v>
      </c>
      <c r="BB41" s="70">
        <f t="shared" si="17"/>
        <v>0</v>
      </c>
      <c r="BC41" s="70">
        <f t="shared" si="18"/>
        <v>0</v>
      </c>
      <c r="BD41" s="70">
        <f t="shared" si="19"/>
        <v>0</v>
      </c>
      <c r="BE41" s="70">
        <f t="shared" si="20"/>
        <v>0</v>
      </c>
      <c r="BF41" s="70">
        <f t="shared" si="21"/>
        <v>0</v>
      </c>
      <c r="BG41" s="70">
        <f t="shared" si="22"/>
        <v>0</v>
      </c>
      <c r="BH41" s="70">
        <f t="shared" si="23"/>
        <v>0</v>
      </c>
      <c r="BI41" s="70">
        <f t="shared" si="24"/>
        <v>0</v>
      </c>
      <c r="BJ41" s="78">
        <f t="shared" si="25"/>
        <v>0</v>
      </c>
      <c r="BK41" s="78">
        <f t="shared" si="26"/>
        <v>0</v>
      </c>
      <c r="BL41" s="79">
        <f t="shared" si="27"/>
        <v>0</v>
      </c>
    </row>
    <row r="42" spans="1:64">
      <c r="A42" s="238"/>
      <c r="B42" s="261"/>
      <c r="C42" s="29" t="s">
        <v>48</v>
      </c>
      <c r="D42" s="49">
        <v>1855373</v>
      </c>
      <c r="E42" s="36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1"/>
      <c r="Q42" s="71"/>
      <c r="R42" s="72"/>
      <c r="S42" s="37"/>
      <c r="T42" s="37"/>
      <c r="U42" s="37"/>
      <c r="V42" s="37"/>
      <c r="W42" s="37"/>
      <c r="X42" s="38"/>
      <c r="Y42" s="36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2"/>
      <c r="AK42" s="72"/>
      <c r="AL42" s="72"/>
      <c r="AM42" s="37"/>
      <c r="AN42" s="37"/>
      <c r="AO42" s="37"/>
      <c r="AP42" s="37"/>
      <c r="AQ42" s="37"/>
      <c r="AR42" s="38"/>
      <c r="AS42" s="54"/>
      <c r="AT42" s="112"/>
      <c r="AU42" s="113"/>
      <c r="AV42" s="54"/>
      <c r="AW42" s="112"/>
      <c r="AX42" s="113"/>
      <c r="AY42" s="36">
        <f t="shared" si="0"/>
        <v>0</v>
      </c>
      <c r="AZ42" s="70">
        <f t="shared" si="15"/>
        <v>0</v>
      </c>
      <c r="BA42" s="70">
        <f t="shared" si="16"/>
        <v>0</v>
      </c>
      <c r="BB42" s="70">
        <f t="shared" si="17"/>
        <v>0</v>
      </c>
      <c r="BC42" s="70">
        <f t="shared" si="18"/>
        <v>0</v>
      </c>
      <c r="BD42" s="70">
        <f t="shared" si="19"/>
        <v>0</v>
      </c>
      <c r="BE42" s="70">
        <f t="shared" si="20"/>
        <v>0</v>
      </c>
      <c r="BF42" s="70">
        <f t="shared" si="21"/>
        <v>0</v>
      </c>
      <c r="BG42" s="70">
        <f t="shared" si="22"/>
        <v>0</v>
      </c>
      <c r="BH42" s="70">
        <f t="shared" si="23"/>
        <v>0</v>
      </c>
      <c r="BI42" s="70">
        <f t="shared" si="24"/>
        <v>0</v>
      </c>
      <c r="BJ42" s="78">
        <f t="shared" si="25"/>
        <v>0</v>
      </c>
      <c r="BK42" s="78">
        <f t="shared" si="26"/>
        <v>0</v>
      </c>
      <c r="BL42" s="79">
        <f t="shared" si="27"/>
        <v>0</v>
      </c>
    </row>
    <row r="43" spans="1:64">
      <c r="A43" s="238"/>
      <c r="B43" s="261"/>
      <c r="C43" s="29" t="s">
        <v>49</v>
      </c>
      <c r="D43" s="49">
        <v>1855373</v>
      </c>
      <c r="E43" s="36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1"/>
      <c r="Q43" s="71"/>
      <c r="R43" s="72"/>
      <c r="S43" s="37"/>
      <c r="T43" s="37"/>
      <c r="U43" s="37"/>
      <c r="V43" s="37"/>
      <c r="W43" s="37"/>
      <c r="X43" s="38"/>
      <c r="Y43" s="36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2"/>
      <c r="AK43" s="72"/>
      <c r="AL43" s="72"/>
      <c r="AM43" s="37"/>
      <c r="AN43" s="37"/>
      <c r="AO43" s="37"/>
      <c r="AP43" s="37"/>
      <c r="AQ43" s="37"/>
      <c r="AR43" s="38"/>
      <c r="AS43" s="54"/>
      <c r="AT43" s="112"/>
      <c r="AU43" s="113"/>
      <c r="AV43" s="54"/>
      <c r="AW43" s="112"/>
      <c r="AX43" s="113"/>
      <c r="AY43" s="36">
        <f t="shared" si="0"/>
        <v>0</v>
      </c>
      <c r="AZ43" s="70">
        <f t="shared" si="15"/>
        <v>0</v>
      </c>
      <c r="BA43" s="70">
        <f t="shared" si="16"/>
        <v>0</v>
      </c>
      <c r="BB43" s="70">
        <f t="shared" si="17"/>
        <v>0</v>
      </c>
      <c r="BC43" s="70">
        <f t="shared" si="18"/>
        <v>0</v>
      </c>
      <c r="BD43" s="70">
        <f t="shared" si="19"/>
        <v>0</v>
      </c>
      <c r="BE43" s="70">
        <f t="shared" si="20"/>
        <v>0</v>
      </c>
      <c r="BF43" s="70">
        <f t="shared" si="21"/>
        <v>0</v>
      </c>
      <c r="BG43" s="70">
        <f t="shared" si="22"/>
        <v>0</v>
      </c>
      <c r="BH43" s="70">
        <f t="shared" si="23"/>
        <v>0</v>
      </c>
      <c r="BI43" s="70">
        <f t="shared" si="24"/>
        <v>0</v>
      </c>
      <c r="BJ43" s="78">
        <f t="shared" si="25"/>
        <v>0</v>
      </c>
      <c r="BK43" s="78">
        <f t="shared" si="26"/>
        <v>0</v>
      </c>
      <c r="BL43" s="79">
        <f t="shared" si="27"/>
        <v>0</v>
      </c>
    </row>
    <row r="44" spans="1:64" ht="15.75" thickBot="1">
      <c r="A44" s="239"/>
      <c r="B44" s="262"/>
      <c r="C44" s="30" t="s">
        <v>50</v>
      </c>
      <c r="D44" s="50">
        <v>1855373</v>
      </c>
      <c r="E44" s="39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4"/>
      <c r="Q44" s="74"/>
      <c r="R44" s="75"/>
      <c r="S44" s="23"/>
      <c r="T44" s="23"/>
      <c r="U44" s="23"/>
      <c r="V44" s="23"/>
      <c r="W44" s="23"/>
      <c r="X44" s="40"/>
      <c r="Y44" s="39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5"/>
      <c r="AK44" s="75"/>
      <c r="AL44" s="75"/>
      <c r="AM44" s="23"/>
      <c r="AN44" s="23"/>
      <c r="AO44" s="23"/>
      <c r="AP44" s="23"/>
      <c r="AQ44" s="23"/>
      <c r="AR44" s="40"/>
      <c r="AS44" s="55"/>
      <c r="AT44" s="116"/>
      <c r="AU44" s="117"/>
      <c r="AV44" s="55"/>
      <c r="AW44" s="116"/>
      <c r="AX44" s="117"/>
      <c r="AY44" s="39">
        <f t="shared" si="0"/>
        <v>0</v>
      </c>
      <c r="AZ44" s="73">
        <f t="shared" si="15"/>
        <v>0</v>
      </c>
      <c r="BA44" s="73">
        <f t="shared" si="16"/>
        <v>0</v>
      </c>
      <c r="BB44" s="73">
        <f t="shared" si="17"/>
        <v>0</v>
      </c>
      <c r="BC44" s="73">
        <f t="shared" si="18"/>
        <v>0</v>
      </c>
      <c r="BD44" s="73">
        <f t="shared" si="19"/>
        <v>0</v>
      </c>
      <c r="BE44" s="73">
        <f t="shared" si="20"/>
        <v>0</v>
      </c>
      <c r="BF44" s="73">
        <f t="shared" si="21"/>
        <v>0</v>
      </c>
      <c r="BG44" s="73">
        <f t="shared" si="22"/>
        <v>0</v>
      </c>
      <c r="BH44" s="73">
        <f t="shared" si="23"/>
        <v>0</v>
      </c>
      <c r="BI44" s="73">
        <f t="shared" si="24"/>
        <v>0</v>
      </c>
      <c r="BJ44" s="80">
        <f t="shared" si="25"/>
        <v>0</v>
      </c>
      <c r="BK44" s="80">
        <f t="shared" si="26"/>
        <v>0</v>
      </c>
      <c r="BL44" s="81">
        <f t="shared" si="27"/>
        <v>0</v>
      </c>
    </row>
    <row r="54" spans="1:46">
      <c r="A54">
        <v>1</v>
      </c>
      <c r="B54">
        <f>A54+1</f>
        <v>2</v>
      </c>
      <c r="C54">
        <f t="shared" ref="C54:AT54" si="28">B54+1</f>
        <v>3</v>
      </c>
      <c r="D54">
        <f t="shared" si="28"/>
        <v>4</v>
      </c>
      <c r="E54">
        <f t="shared" si="28"/>
        <v>5</v>
      </c>
      <c r="F54">
        <f t="shared" si="28"/>
        <v>6</v>
      </c>
      <c r="G54">
        <f t="shared" si="28"/>
        <v>7</v>
      </c>
      <c r="H54">
        <f t="shared" si="28"/>
        <v>8</v>
      </c>
      <c r="I54">
        <f t="shared" si="28"/>
        <v>9</v>
      </c>
      <c r="J54">
        <f t="shared" si="28"/>
        <v>10</v>
      </c>
      <c r="K54">
        <f t="shared" si="28"/>
        <v>11</v>
      </c>
      <c r="L54">
        <f t="shared" si="28"/>
        <v>12</v>
      </c>
      <c r="M54">
        <f t="shared" si="28"/>
        <v>13</v>
      </c>
      <c r="N54">
        <f t="shared" si="28"/>
        <v>14</v>
      </c>
      <c r="O54">
        <f t="shared" si="28"/>
        <v>15</v>
      </c>
      <c r="P54">
        <f t="shared" si="28"/>
        <v>16</v>
      </c>
      <c r="Q54">
        <f t="shared" si="28"/>
        <v>17</v>
      </c>
      <c r="R54">
        <f t="shared" si="28"/>
        <v>18</v>
      </c>
      <c r="S54">
        <f t="shared" si="28"/>
        <v>19</v>
      </c>
      <c r="T54">
        <f t="shared" si="28"/>
        <v>20</v>
      </c>
      <c r="U54">
        <f t="shared" si="28"/>
        <v>21</v>
      </c>
      <c r="V54">
        <f t="shared" si="28"/>
        <v>22</v>
      </c>
      <c r="W54">
        <f t="shared" si="28"/>
        <v>23</v>
      </c>
      <c r="X54">
        <f t="shared" si="28"/>
        <v>24</v>
      </c>
      <c r="Y54">
        <f t="shared" si="28"/>
        <v>25</v>
      </c>
      <c r="Z54">
        <f t="shared" si="28"/>
        <v>26</v>
      </c>
      <c r="AA54">
        <f t="shared" si="28"/>
        <v>27</v>
      </c>
      <c r="AB54">
        <f t="shared" si="28"/>
        <v>28</v>
      </c>
      <c r="AC54">
        <f t="shared" si="28"/>
        <v>29</v>
      </c>
      <c r="AD54">
        <f t="shared" si="28"/>
        <v>30</v>
      </c>
      <c r="AE54">
        <f t="shared" si="28"/>
        <v>31</v>
      </c>
      <c r="AF54">
        <f t="shared" si="28"/>
        <v>32</v>
      </c>
      <c r="AG54">
        <f t="shared" si="28"/>
        <v>33</v>
      </c>
      <c r="AH54">
        <f t="shared" si="28"/>
        <v>34</v>
      </c>
      <c r="AI54">
        <f t="shared" si="28"/>
        <v>35</v>
      </c>
      <c r="AJ54">
        <f t="shared" si="28"/>
        <v>36</v>
      </c>
      <c r="AK54">
        <f t="shared" si="28"/>
        <v>37</v>
      </c>
      <c r="AL54">
        <f t="shared" si="28"/>
        <v>38</v>
      </c>
      <c r="AM54">
        <f t="shared" si="28"/>
        <v>39</v>
      </c>
      <c r="AN54">
        <f t="shared" si="28"/>
        <v>40</v>
      </c>
      <c r="AO54">
        <f t="shared" si="28"/>
        <v>41</v>
      </c>
      <c r="AP54">
        <f t="shared" si="28"/>
        <v>42</v>
      </c>
      <c r="AQ54">
        <f t="shared" si="28"/>
        <v>43</v>
      </c>
      <c r="AR54">
        <f t="shared" si="28"/>
        <v>44</v>
      </c>
      <c r="AS54">
        <f t="shared" si="28"/>
        <v>45</v>
      </c>
      <c r="AT54">
        <f t="shared" si="28"/>
        <v>46</v>
      </c>
    </row>
  </sheetData>
  <mergeCells count="42">
    <mergeCell ref="AY2:AY3"/>
    <mergeCell ref="AZ2:BI2"/>
    <mergeCell ref="AV2:AX2"/>
    <mergeCell ref="BJ2:BL2"/>
    <mergeCell ref="AY1:BL1"/>
    <mergeCell ref="B25:B29"/>
    <mergeCell ref="B30:B34"/>
    <mergeCell ref="B35:B39"/>
    <mergeCell ref="B40:B44"/>
    <mergeCell ref="AS1:AX1"/>
    <mergeCell ref="AS2:AU2"/>
    <mergeCell ref="B5:B9"/>
    <mergeCell ref="B10:B14"/>
    <mergeCell ref="B15:B19"/>
    <mergeCell ref="B20:B24"/>
    <mergeCell ref="A1:D1"/>
    <mergeCell ref="E1:X1"/>
    <mergeCell ref="Y1:AR1"/>
    <mergeCell ref="AJ2:AL2"/>
    <mergeCell ref="AM2:AM3"/>
    <mergeCell ref="AN2:AN3"/>
    <mergeCell ref="AQ2:AQ3"/>
    <mergeCell ref="U2:U3"/>
    <mergeCell ref="D2:D3"/>
    <mergeCell ref="AO2:AO3"/>
    <mergeCell ref="AP2:AP3"/>
    <mergeCell ref="AR2:AR3"/>
    <mergeCell ref="A2:A3"/>
    <mergeCell ref="A5:A24"/>
    <mergeCell ref="A25:A44"/>
    <mergeCell ref="F2:O2"/>
    <mergeCell ref="Z2:AI2"/>
    <mergeCell ref="Y2:Y3"/>
    <mergeCell ref="V2:V3"/>
    <mergeCell ref="W2:W3"/>
    <mergeCell ref="X2:X3"/>
    <mergeCell ref="P2:R2"/>
    <mergeCell ref="S2:S3"/>
    <mergeCell ref="T2:T3"/>
    <mergeCell ref="B2:B3"/>
    <mergeCell ref="C2:C3"/>
    <mergeCell ref="E2:E3"/>
  </mergeCells>
  <phoneticPr fontId="2" type="noConversion"/>
  <conditionalFormatting sqref="AS5 AS10 AS15 AS20 AS21:AX24 AS6:AX9 AS11:AX14 AS16:AX19">
    <cfRule type="cellIs" dxfId="105" priority="7810" operator="greaterThanOrEqual">
      <formula>0.03</formula>
    </cfRule>
    <cfRule type="cellIs" dxfId="104" priority="7811" operator="lessThanOrEqual">
      <formula>-0.03</formula>
    </cfRule>
  </conditionalFormatting>
  <conditionalFormatting sqref="AU5">
    <cfRule type="cellIs" dxfId="103" priority="6872" operator="greaterThanOrEqual">
      <formula>0.03</formula>
    </cfRule>
    <cfRule type="cellIs" dxfId="102" priority="6873" operator="lessThanOrEqual">
      <formula>-0.03</formula>
    </cfRule>
  </conditionalFormatting>
  <conditionalFormatting sqref="AT5">
    <cfRule type="cellIs" dxfId="101" priority="6866" operator="greaterThanOrEqual">
      <formula>0.03</formula>
    </cfRule>
    <cfRule type="cellIs" dxfId="100" priority="6867" operator="lessThanOrEqual">
      <formula>-0.03</formula>
    </cfRule>
  </conditionalFormatting>
  <conditionalFormatting sqref="AU10">
    <cfRule type="cellIs" dxfId="99" priority="153" operator="greaterThanOrEqual">
      <formula>0.03</formula>
    </cfRule>
    <cfRule type="cellIs" dxfId="98" priority="154" operator="lessThanOrEqual">
      <formula>-0.03</formula>
    </cfRule>
  </conditionalFormatting>
  <conditionalFormatting sqref="AT10">
    <cfRule type="cellIs" dxfId="97" priority="151" operator="greaterThanOrEqual">
      <formula>0.03</formula>
    </cfRule>
    <cfRule type="cellIs" dxfId="96" priority="152" operator="lessThanOrEqual">
      <formula>-0.03</formula>
    </cfRule>
  </conditionalFormatting>
  <conditionalFormatting sqref="AU15">
    <cfRule type="cellIs" dxfId="95" priority="149" operator="greaterThanOrEqual">
      <formula>0.03</formula>
    </cfRule>
    <cfRule type="cellIs" dxfId="94" priority="150" operator="lessThanOrEqual">
      <formula>-0.03</formula>
    </cfRule>
  </conditionalFormatting>
  <conditionalFormatting sqref="AT15">
    <cfRule type="cellIs" dxfId="93" priority="147" operator="greaterThanOrEqual">
      <formula>0.03</formula>
    </cfRule>
    <cfRule type="cellIs" dxfId="92" priority="148" operator="lessThanOrEqual">
      <formula>-0.03</formula>
    </cfRule>
  </conditionalFormatting>
  <conditionalFormatting sqref="AS25 AS26:AX29">
    <cfRule type="cellIs" dxfId="91" priority="141" operator="greaterThanOrEqual">
      <formula>0.03</formula>
    </cfRule>
    <cfRule type="cellIs" dxfId="90" priority="142" operator="lessThanOrEqual">
      <formula>-0.03</formula>
    </cfRule>
  </conditionalFormatting>
  <conditionalFormatting sqref="AU25">
    <cfRule type="cellIs" dxfId="89" priority="139" operator="greaterThanOrEqual">
      <formula>0.03</formula>
    </cfRule>
    <cfRule type="cellIs" dxfId="88" priority="140" operator="lessThanOrEqual">
      <formula>-0.03</formula>
    </cfRule>
  </conditionalFormatting>
  <conditionalFormatting sqref="AT25">
    <cfRule type="cellIs" dxfId="87" priority="137" operator="greaterThanOrEqual">
      <formula>0.03</formula>
    </cfRule>
    <cfRule type="cellIs" dxfId="86" priority="138" operator="lessThanOrEqual">
      <formula>-0.03</formula>
    </cfRule>
  </conditionalFormatting>
  <conditionalFormatting sqref="AS30 AS31:AX34 AV30">
    <cfRule type="cellIs" dxfId="85" priority="135" operator="greaterThanOrEqual">
      <formula>0.03</formula>
    </cfRule>
    <cfRule type="cellIs" dxfId="84" priority="136" operator="lessThanOrEqual">
      <formula>-0.03</formula>
    </cfRule>
  </conditionalFormatting>
  <conditionalFormatting sqref="AU30">
    <cfRule type="cellIs" dxfId="83" priority="133" operator="greaterThanOrEqual">
      <formula>0.03</formula>
    </cfRule>
    <cfRule type="cellIs" dxfId="82" priority="134" operator="lessThanOrEqual">
      <formula>-0.03</formula>
    </cfRule>
  </conditionalFormatting>
  <conditionalFormatting sqref="AT30">
    <cfRule type="cellIs" dxfId="81" priority="131" operator="greaterThanOrEqual">
      <formula>0.03</formula>
    </cfRule>
    <cfRule type="cellIs" dxfId="80" priority="132" operator="lessThanOrEqual">
      <formula>-0.03</formula>
    </cfRule>
  </conditionalFormatting>
  <conditionalFormatting sqref="AS36:AX39">
    <cfRule type="cellIs" dxfId="79" priority="129" operator="greaterThanOrEqual">
      <formula>0.03</formula>
    </cfRule>
    <cfRule type="cellIs" dxfId="78" priority="130" operator="lessThanOrEqual">
      <formula>-0.03</formula>
    </cfRule>
  </conditionalFormatting>
  <conditionalFormatting sqref="AS41:AX44">
    <cfRule type="cellIs" dxfId="77" priority="123" operator="greaterThanOrEqual">
      <formula>0.03</formula>
    </cfRule>
    <cfRule type="cellIs" dxfId="76" priority="124" operator="lessThanOrEqual">
      <formula>-0.03</formula>
    </cfRule>
  </conditionalFormatting>
  <conditionalFormatting sqref="AU20">
    <cfRule type="cellIs" dxfId="75" priority="117" operator="greaterThanOrEqual">
      <formula>0.03</formula>
    </cfRule>
    <cfRule type="cellIs" dxfId="74" priority="118" operator="lessThanOrEqual">
      <formula>-0.03</formula>
    </cfRule>
  </conditionalFormatting>
  <conditionalFormatting sqref="AT20">
    <cfRule type="cellIs" dxfId="73" priority="115" operator="greaterThanOrEqual">
      <formula>0.03</formula>
    </cfRule>
    <cfRule type="cellIs" dxfId="72" priority="116" operator="lessThanOrEqual">
      <formula>-0.03</formula>
    </cfRule>
  </conditionalFormatting>
  <conditionalFormatting sqref="AS35">
    <cfRule type="cellIs" dxfId="71" priority="113" operator="greaterThanOrEqual">
      <formula>0.03</formula>
    </cfRule>
    <cfRule type="cellIs" dxfId="70" priority="114" operator="lessThanOrEqual">
      <formula>-0.03</formula>
    </cfRule>
  </conditionalFormatting>
  <conditionalFormatting sqref="AU35">
    <cfRule type="cellIs" dxfId="69" priority="111" operator="greaterThanOrEqual">
      <formula>0.03</formula>
    </cfRule>
    <cfRule type="cellIs" dxfId="68" priority="112" operator="lessThanOrEqual">
      <formula>-0.03</formula>
    </cfRule>
  </conditionalFormatting>
  <conditionalFormatting sqref="AT35">
    <cfRule type="cellIs" dxfId="67" priority="109" operator="greaterThanOrEqual">
      <formula>0.03</formula>
    </cfRule>
    <cfRule type="cellIs" dxfId="66" priority="110" operator="lessThanOrEqual">
      <formula>-0.03</formula>
    </cfRule>
  </conditionalFormatting>
  <conditionalFormatting sqref="AS40">
    <cfRule type="cellIs" dxfId="65" priority="107" operator="greaterThanOrEqual">
      <formula>0.03</formula>
    </cfRule>
    <cfRule type="cellIs" dxfId="64" priority="108" operator="lessThanOrEqual">
      <formula>-0.03</formula>
    </cfRule>
  </conditionalFormatting>
  <conditionalFormatting sqref="AU40">
    <cfRule type="cellIs" dxfId="63" priority="105" operator="greaterThanOrEqual">
      <formula>0.03</formula>
    </cfRule>
    <cfRule type="cellIs" dxfId="62" priority="106" operator="lessThanOrEqual">
      <formula>-0.03</formula>
    </cfRule>
  </conditionalFormatting>
  <conditionalFormatting sqref="AT40">
    <cfRule type="cellIs" dxfId="61" priority="103" operator="greaterThanOrEqual">
      <formula>0.03</formula>
    </cfRule>
    <cfRule type="cellIs" dxfId="60" priority="104" operator="lessThanOrEqual">
      <formula>-0.03</formula>
    </cfRule>
  </conditionalFormatting>
  <conditionalFormatting sqref="E15:E44 S15:Y44 AM5:AR44 AC5:AI44 I15:O44 Y5:Y14">
    <cfRule type="expression" dxfId="59" priority="101">
      <formula>MOD(ROW(),2)=0</formula>
    </cfRule>
  </conditionalFormatting>
  <conditionalFormatting sqref="F15:F44 P15:R44 Z5:Z44 AJ5:AL44">
    <cfRule type="expression" dxfId="58" priority="17">
      <formula>MOD(ROW(),2)=0</formula>
    </cfRule>
    <cfRule type="expression" dxfId="57" priority="100">
      <formula>MOD(ROW(),2)=1</formula>
    </cfRule>
  </conditionalFormatting>
  <conditionalFormatting sqref="C5:D44">
    <cfRule type="expression" dxfId="56" priority="97">
      <formula>MOD(ROW(),2)=1</formula>
    </cfRule>
  </conditionalFormatting>
  <conditionalFormatting sqref="AX30">
    <cfRule type="cellIs" dxfId="55" priority="79" operator="greaterThanOrEqual">
      <formula>0.03</formula>
    </cfRule>
    <cfRule type="cellIs" dxfId="54" priority="80" operator="lessThanOrEqual">
      <formula>-0.03</formula>
    </cfRule>
  </conditionalFormatting>
  <conditionalFormatting sqref="AW30">
    <cfRule type="cellIs" dxfId="53" priority="77" operator="greaterThanOrEqual">
      <formula>0.03</formula>
    </cfRule>
    <cfRule type="cellIs" dxfId="52" priority="78" operator="lessThanOrEqual">
      <formula>-0.03</formula>
    </cfRule>
  </conditionalFormatting>
  <conditionalFormatting sqref="AV5">
    <cfRule type="cellIs" dxfId="51" priority="59" operator="greaterThanOrEqual">
      <formula>0.03</formula>
    </cfRule>
    <cfRule type="cellIs" dxfId="50" priority="60" operator="lessThanOrEqual">
      <formula>-0.03</formula>
    </cfRule>
  </conditionalFormatting>
  <conditionalFormatting sqref="AX5">
    <cfRule type="cellIs" dxfId="49" priority="57" operator="greaterThanOrEqual">
      <formula>0.03</formula>
    </cfRule>
    <cfRule type="cellIs" dxfId="48" priority="58" operator="lessThanOrEqual">
      <formula>-0.03</formula>
    </cfRule>
  </conditionalFormatting>
  <conditionalFormatting sqref="AW5">
    <cfRule type="cellIs" dxfId="47" priority="55" operator="greaterThanOrEqual">
      <formula>0.03</formula>
    </cfRule>
    <cfRule type="cellIs" dxfId="46" priority="56" operator="lessThanOrEqual">
      <formula>-0.03</formula>
    </cfRule>
  </conditionalFormatting>
  <conditionalFormatting sqref="AV10">
    <cfRule type="cellIs" dxfId="45" priority="53" operator="greaterThanOrEqual">
      <formula>0.03</formula>
    </cfRule>
    <cfRule type="cellIs" dxfId="44" priority="54" operator="lessThanOrEqual">
      <formula>-0.03</formula>
    </cfRule>
  </conditionalFormatting>
  <conditionalFormatting sqref="AX10">
    <cfRule type="cellIs" dxfId="43" priority="51" operator="greaterThanOrEqual">
      <formula>0.03</formula>
    </cfRule>
    <cfRule type="cellIs" dxfId="42" priority="52" operator="lessThanOrEqual">
      <formula>-0.03</formula>
    </cfRule>
  </conditionalFormatting>
  <conditionalFormatting sqref="AW10">
    <cfRule type="cellIs" dxfId="41" priority="49" operator="greaterThanOrEqual">
      <formula>0.03</formula>
    </cfRule>
    <cfRule type="cellIs" dxfId="40" priority="50" operator="lessThanOrEqual">
      <formula>-0.03</formula>
    </cfRule>
  </conditionalFormatting>
  <conditionalFormatting sqref="AV15">
    <cfRule type="cellIs" dxfId="39" priority="47" operator="greaterThanOrEqual">
      <formula>0.03</formula>
    </cfRule>
    <cfRule type="cellIs" dxfId="38" priority="48" operator="lessThanOrEqual">
      <formula>-0.03</formula>
    </cfRule>
  </conditionalFormatting>
  <conditionalFormatting sqref="AX15">
    <cfRule type="cellIs" dxfId="37" priority="45" operator="greaterThanOrEqual">
      <formula>0.03</formula>
    </cfRule>
    <cfRule type="cellIs" dxfId="36" priority="46" operator="lessThanOrEqual">
      <formula>-0.03</formula>
    </cfRule>
  </conditionalFormatting>
  <conditionalFormatting sqref="AW15">
    <cfRule type="cellIs" dxfId="35" priority="43" operator="greaterThanOrEqual">
      <formula>0.03</formula>
    </cfRule>
    <cfRule type="cellIs" dxfId="34" priority="44" operator="lessThanOrEqual">
      <formula>-0.03</formula>
    </cfRule>
  </conditionalFormatting>
  <conditionalFormatting sqref="AV20">
    <cfRule type="cellIs" dxfId="33" priority="41" operator="greaterThanOrEqual">
      <formula>0.03</formula>
    </cfRule>
    <cfRule type="cellIs" dxfId="32" priority="42" operator="lessThanOrEqual">
      <formula>-0.03</formula>
    </cfRule>
  </conditionalFormatting>
  <conditionalFormatting sqref="AX20">
    <cfRule type="cellIs" dxfId="31" priority="39" operator="greaterThanOrEqual">
      <formula>0.03</formula>
    </cfRule>
    <cfRule type="cellIs" dxfId="30" priority="40" operator="lessThanOrEqual">
      <formula>-0.03</formula>
    </cfRule>
  </conditionalFormatting>
  <conditionalFormatting sqref="AW20">
    <cfRule type="cellIs" dxfId="29" priority="37" operator="greaterThanOrEqual">
      <formula>0.03</formula>
    </cfRule>
    <cfRule type="cellIs" dxfId="28" priority="38" operator="lessThanOrEqual">
      <formula>-0.03</formula>
    </cfRule>
  </conditionalFormatting>
  <conditionalFormatting sqref="AV25">
    <cfRule type="cellIs" dxfId="27" priority="35" operator="greaterThanOrEqual">
      <formula>0.03</formula>
    </cfRule>
    <cfRule type="cellIs" dxfId="26" priority="36" operator="lessThanOrEqual">
      <formula>-0.03</formula>
    </cfRule>
  </conditionalFormatting>
  <conditionalFormatting sqref="AX25">
    <cfRule type="cellIs" dxfId="25" priority="33" operator="greaterThanOrEqual">
      <formula>0.03</formula>
    </cfRule>
    <cfRule type="cellIs" dxfId="24" priority="34" operator="lessThanOrEqual">
      <formula>-0.03</formula>
    </cfRule>
  </conditionalFormatting>
  <conditionalFormatting sqref="AW25">
    <cfRule type="cellIs" dxfId="23" priority="31" operator="greaterThanOrEqual">
      <formula>0.03</formula>
    </cfRule>
    <cfRule type="cellIs" dxfId="22" priority="32" operator="lessThanOrEqual">
      <formula>-0.03</formula>
    </cfRule>
  </conditionalFormatting>
  <conditionalFormatting sqref="AV35">
    <cfRule type="cellIs" dxfId="21" priority="29" operator="greaterThanOrEqual">
      <formula>0.03</formula>
    </cfRule>
    <cfRule type="cellIs" dxfId="20" priority="30" operator="lessThanOrEqual">
      <formula>-0.03</formula>
    </cfRule>
  </conditionalFormatting>
  <conditionalFormatting sqref="AX35">
    <cfRule type="cellIs" dxfId="19" priority="27" operator="greaterThanOrEqual">
      <formula>0.03</formula>
    </cfRule>
    <cfRule type="cellIs" dxfId="18" priority="28" operator="lessThanOrEqual">
      <formula>-0.03</formula>
    </cfRule>
  </conditionalFormatting>
  <conditionalFormatting sqref="AW35">
    <cfRule type="cellIs" dxfId="17" priority="25" operator="greaterThanOrEqual">
      <formula>0.03</formula>
    </cfRule>
    <cfRule type="cellIs" dxfId="16" priority="26" operator="lessThanOrEqual">
      <formula>-0.03</formula>
    </cfRule>
  </conditionalFormatting>
  <conditionalFormatting sqref="AV40">
    <cfRule type="cellIs" dxfId="15" priority="23" operator="greaterThanOrEqual">
      <formula>0.03</formula>
    </cfRule>
    <cfRule type="cellIs" dxfId="14" priority="24" operator="lessThanOrEqual">
      <formula>-0.03</formula>
    </cfRule>
  </conditionalFormatting>
  <conditionalFormatting sqref="AX40">
    <cfRule type="cellIs" dxfId="13" priority="21" operator="greaterThanOrEqual">
      <formula>0.03</formula>
    </cfRule>
    <cfRule type="cellIs" dxfId="12" priority="22" operator="lessThanOrEqual">
      <formula>-0.03</formula>
    </cfRule>
  </conditionalFormatting>
  <conditionalFormatting sqref="AW40">
    <cfRule type="cellIs" dxfId="11" priority="19" operator="greaterThanOrEqual">
      <formula>0.03</formula>
    </cfRule>
    <cfRule type="cellIs" dxfId="10" priority="20" operator="lessThanOrEqual">
      <formula>-0.03</formula>
    </cfRule>
  </conditionalFormatting>
  <conditionalFormatting sqref="H15:H44 AB5:AB44">
    <cfRule type="expression" dxfId="9" priority="16">
      <formula>MOD(ROW(),2)=0</formula>
    </cfRule>
  </conditionalFormatting>
  <conditionalFormatting sqref="H15:H44 AB5:AB44">
    <cfRule type="expression" dxfId="8" priority="14">
      <formula>MOD(ROW(),2)=1</formula>
    </cfRule>
  </conditionalFormatting>
  <conditionalFormatting sqref="G15:G44">
    <cfRule type="expression" dxfId="7" priority="8">
      <formula>MOD(ROW(),2)=0</formula>
    </cfRule>
  </conditionalFormatting>
  <conditionalFormatting sqref="AA5:AA44">
    <cfRule type="expression" dxfId="6" priority="7">
      <formula>MOD(ROW(),2)=0</formula>
    </cfRule>
  </conditionalFormatting>
  <conditionalFormatting sqref="E5:E14 S5:X14 I5:O14">
    <cfRule type="expression" dxfId="5" priority="6">
      <formula>MOD(ROW(),2)=0</formula>
    </cfRule>
  </conditionalFormatting>
  <conditionalFormatting sqref="F5:F14 P5:R14">
    <cfRule type="expression" dxfId="4" priority="4">
      <formula>MOD(ROW(),2)=0</formula>
    </cfRule>
    <cfRule type="expression" dxfId="3" priority="5">
      <formula>MOD(ROW(),2)=1</formula>
    </cfRule>
  </conditionalFormatting>
  <conditionalFormatting sqref="H5:H14">
    <cfRule type="expression" dxfId="2" priority="3">
      <formula>MOD(ROW(),2)=0</formula>
    </cfRule>
  </conditionalFormatting>
  <conditionalFormatting sqref="H5:H14">
    <cfRule type="expression" dxfId="1" priority="2">
      <formula>MOD(ROW(),2)=1</formula>
    </cfRule>
  </conditionalFormatting>
  <conditionalFormatting sqref="G5:G14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Summary</vt:lpstr>
      <vt:lpstr>names</vt:lpstr>
      <vt:lpstr>Graph</vt:lpstr>
      <vt:lpstr>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Jean</dc:creator>
  <cp:lastModifiedBy>流洋 古</cp:lastModifiedBy>
  <dcterms:created xsi:type="dcterms:W3CDTF">2019-03-01T14:42:18Z</dcterms:created>
  <dcterms:modified xsi:type="dcterms:W3CDTF">2026-02-04T09:08:52Z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2019-03-01T14:42:18Z</vt:filetime>
  </property>
</Properties>
</file>