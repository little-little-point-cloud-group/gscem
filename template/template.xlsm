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31046\Desktop\"/>
    </mc:Choice>
  </mc:AlternateContent>
  <xr:revisionPtr revIDLastSave="0" documentId="8_{060EE34F-B9A5-47B5-8C77-E15426731BA5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ummary" sheetId="1" r:id="rId1"/>
    <sheet name="names" sheetId="4" state="hidden" r:id="rId2"/>
    <sheet name="Plot" sheetId="22" r:id="rId3"/>
    <sheet name="C1" sheetId="5" r:id="rId4"/>
  </sheets>
  <functionGroups builtInGroupCount="19"/>
  <definedNames>
    <definedName name="all_cols">#REF!</definedName>
    <definedName name="graph_a_A_title">INDIRECT(VLOOKUP("name.A."&amp;#REF!,names!$A:$B,2,0))</definedName>
    <definedName name="graph_a_B_title">INDIRECT(VLOOKUP("name.B."&amp;#REF!,names!$A:$B,2,0))</definedName>
    <definedName name="graph_a_title">CONCATENATE([0]!graph_a_y_title, " (Graph a)")</definedName>
    <definedName name="graph_a_x_range_A">IF(ISREF([0]!graph_a_x_range_A_),[0]!graph_a_x_range_A_,{0})</definedName>
    <definedName name="graph_a_x_range_A_">INDEX(INDIRECT(VLOOKUP("range." &amp;#REF! &amp;"." &amp;#REF!, names!$A:$B,2,0)), 0, VLOOKUP("col." &amp;#REF! &amp;".A." &amp;#REF!, names!$A:$B,2,0))</definedName>
    <definedName name="graph_a_x_range_B">IF(ISREF([0]!graph_a_x_range_B_),[0]!graph_a_x_range_B_,{0})</definedName>
    <definedName name="graph_a_x_range_B_">INDEX(INDIRECT(VLOOKUP("range." &amp;#REF! &amp;"." &amp;#REF!, names!$A:$B,2,0)), 0, VLOOKUP("col." &amp;#REF! &amp;".B." &amp;#REF!, names!$A:$B,2,0))</definedName>
    <definedName name="graph_a_x_title">OFFSET([0]!all_cols, MATCH(#REF!, [0]!all_cols, 0)-1,1,1,1)</definedName>
    <definedName name="graph_a_y_range_A">IF(ISREF([0]!graph_a_y_range_A_),[0]!graph_a_y_range_A_,{0})</definedName>
    <definedName name="graph_a_y_range_A_">INDEX(INDIRECT(VLOOKUP("range." &amp;#REF! &amp;"." &amp;#REF!, names!$A:$B,2,0)), 0, VLOOKUP("col." &amp;#REF! &amp;".A." &amp;#REF!, names!$A:$B,2,0))</definedName>
    <definedName name="graph_a_y_range_B">IF(ISREF([0]!graph_a_y_range_B_),[0]!graph_a_y_range_B_,{0})</definedName>
    <definedName name="graph_a_y_range_B_">INDEX(INDIRECT(VLOOKUP("range." &amp;#REF! &amp;"." &amp;#REF!, names!$A:$B,2,0)), 0, VLOOKUP("col." &amp;#REF! &amp;".B." &amp;#REF!, names!$A:$B,2,0))</definedName>
    <definedName name="graph_a_y_title">OFFSET([0]!all_cols, MATCH(#REF!, [0]!all_cols, 0)-1,1,1,1)</definedName>
    <definedName name="graph_b_A_title">INDIRECT(VLOOKUP("name.A."&amp;#REF!,names!$A:$B,2,0))</definedName>
    <definedName name="graph_b_B_title">INDIRECT(VLOOKUP("name.B."&amp;#REF!,names!$A:$B,2,0))</definedName>
    <definedName name="graph_b_title">CONCATENATE([0]!graph_b_y_title, " (Graph b)")</definedName>
    <definedName name="graph_b_x_range_A">IF(ISREF([0]!graph_b_x_range_A_),[0]!graph_b_x_range_A_,{0})</definedName>
    <definedName name="graph_b_x_range_A_">INDEX(INDIRECT(VLOOKUP("range." &amp;#REF! &amp;"." &amp;#REF!, names!$A:$B,2,0)), 0, VLOOKUP("col." &amp;#REF! &amp;".A." &amp;#REF!, names!$A:$B,2,0))</definedName>
    <definedName name="graph_b_x_range_B">IF(ISREF([0]!graph_b_x_range_B_),[0]!graph_b_x_range_B_,{0})</definedName>
    <definedName name="graph_b_x_range_B_">INDEX(INDIRECT(VLOOKUP("range." &amp;#REF! &amp;"." &amp;#REF!, names!$A:$B,2,0)), 0, VLOOKUP("col." &amp;#REF! &amp;".B." &amp;#REF!, names!$A:$B,2,0))</definedName>
    <definedName name="graph_b_x_title">OFFSET([0]!all_cols, MATCH(#REF!, [0]!all_cols, 0)-1,1,1,1)</definedName>
    <definedName name="graph_b_y_range_A">IF(ISREF([0]!graph_b_y_range_A_),[0]!graph_b_y_range_A_,{0})</definedName>
    <definedName name="graph_b_y_range_A_">INDEX(INDIRECT(VLOOKUP("range." &amp;#REF! &amp;"." &amp;#REF!, names!$A:$B,2,0)), 0, VLOOKUP("col." &amp;#REF! &amp;".A." &amp;#REF!, names!$A:$B,2,0))</definedName>
    <definedName name="graph_b_y_range_B">IF(ISREF([0]!graph_b_y_range_B_),[0]!graph_b_y_range_B_,{0})</definedName>
    <definedName name="graph_b_y_range_B_">INDEX(INDIRECT(VLOOKUP("range." &amp;#REF! &amp;"." &amp;#REF!, names!$A:$B,2,0)), 0, VLOOKUP("col." &amp;#REF! &amp;".B." &amp;#REF!, names!$A:$B,2,0))</definedName>
    <definedName name="graph_b_y_title">OFFSET([0]!all_cols, MATCH(#REF!, [0]!all_cols, 0)-1,1,1,1)</definedName>
    <definedName name="graph_c_A_title">INDIRECT(VLOOKUP("name.A."&amp;#REF!,names!$A:$B,2,0))</definedName>
    <definedName name="graph_c_B_title">INDIRECT(VLOOKUP("name.B."&amp;#REF!,names!$A:$B,2,0))</definedName>
    <definedName name="graph_c_title">CONCATENATE([0]!graph_c_y_title, " (Graph c)")</definedName>
    <definedName name="graph_c_x_range_A">IF(ISREF([0]!graph_c_x_range_A_),[0]!graph_c_x_range_A_,{0})</definedName>
    <definedName name="graph_c_x_range_A_">INDEX(INDIRECT(VLOOKUP("range." &amp;#REF! &amp;"." &amp;#REF!, names!$A:$B,2,0)), 0, VLOOKUP("col." &amp;#REF! &amp;".A." &amp;#REF!, names!$A:$B,2,0))</definedName>
    <definedName name="graph_c_x_range_B">IF(ISREF([0]!graph_c_x_range_B_),[0]!graph_c_x_range_B_,{0})</definedName>
    <definedName name="graph_c_x_range_B_">INDEX(INDIRECT(VLOOKUP("range." &amp;#REF! &amp;"." &amp;#REF!, names!$A:$B,2,0)), 0, VLOOKUP("col." &amp;#REF! &amp;".B." &amp;#REF!, names!$A:$B,2,0))</definedName>
    <definedName name="graph_c_x_title">OFFSET([0]!all_cols, MATCH(#REF!, [0]!all_cols, 0)-1,1,1,1)</definedName>
    <definedName name="graph_c_y_range_A">IF(ISREF([0]!graph_c_y_range_A_),[0]!graph_c_y_range_A_,{0})</definedName>
    <definedName name="graph_c_y_range_A_">INDEX(INDIRECT(VLOOKUP("range." &amp;#REF! &amp;"." &amp;#REF!, names!$A:$B,2,0)), 0, VLOOKUP("col." &amp;#REF! &amp;".A." &amp;#REF!, names!$A:$B,2,0))</definedName>
    <definedName name="graph_c_y_range_B">IF(ISREF([0]!graph_c_y_range_B_),[0]!graph_c_y_range_B_,{0})</definedName>
    <definedName name="graph_c_y_range_B_">INDEX(INDIRECT(VLOOKUP("range." &amp;#REF! &amp;"." &amp;#REF!, names!$A:$B,2,0)), 0, VLOOKUP("col." &amp;#REF! &amp;".B." &amp;#REF!, names!$A:$B,2,0))</definedName>
    <definedName name="graph_c_y_title">OFFSET([0]!all_cols, MATCH(#REF!, [0]!all_cols, 0)-1,1,1,1)</definedName>
    <definedName name="graph_d_A_title">INDIRECT(VLOOKUP("name.A."&amp;#REF!,names!$A:$B,2,0))</definedName>
    <definedName name="graph_d_B_title">INDIRECT(VLOOKUP("name.B."&amp;#REF!,names!$A:$B,2,0))</definedName>
    <definedName name="graph_d_title">CONCATENATE([0]!graph_d_y_title, " (Graph d)")</definedName>
    <definedName name="graph_d_x_range_A">IF(ISREF([0]!graph_d_x_range_A_),[0]!graph_d_x_range_A_,{0})</definedName>
    <definedName name="graph_d_x_range_A_">INDEX(INDIRECT(VLOOKUP("range." &amp;#REF! &amp;"." &amp;#REF!, names!$A:$B,2,0)), 0, VLOOKUP("col." &amp;#REF! &amp;".A." &amp;#REF!, names!$A:$B,2,0))</definedName>
    <definedName name="graph_d_x_range_B">IF(ISREF([0]!graph_d_x_range_B_),[0]!graph_d_x_range_B_,{0})</definedName>
    <definedName name="graph_d_x_range_B_">INDEX(INDIRECT(VLOOKUP("range." &amp;#REF! &amp;"." &amp;#REF!, names!$A:$B,2,0)), 0, VLOOKUP("col." &amp;#REF! &amp;".B." &amp;#REF!, names!$A:$B,2,0))</definedName>
    <definedName name="graph_d_x_title">OFFSET([0]!all_cols, MATCH(#REF!, [0]!all_cols, 0)-1,1,1,1)</definedName>
    <definedName name="graph_d_y_range_A">IF(ISREF([0]!graph_d_y_range_A_),[0]!graph_d_y_range_A_,{0})</definedName>
    <definedName name="graph_d_y_range_A_">INDEX(INDIRECT(VLOOKUP("range." &amp;#REF! &amp;"." &amp;#REF!, names!$A:$B,2,0)), 0, VLOOKUP("col." &amp;#REF! &amp;".A." &amp;#REF!, names!$A:$B,2,0))</definedName>
    <definedName name="graph_d_y_range_B">IF(ISREF([0]!graph_d_y_range_B_),[0]!graph_d_y_range_B_,{0})</definedName>
    <definedName name="graph_d_y_range_B_">INDEX(INDIRECT(VLOOKUP("range." &amp;#REF! &amp;"." &amp;#REF!, names!$A:$B,2,0)), 0, VLOOKUP("col." &amp;#REF! &amp;".B." &amp;#REF!, names!$A:$B,2,0))</definedName>
    <definedName name="graph_d_y_title">OFFSET([0]!all_cols, MATCH(#REF!, [0]!all_cols, 0)-1,1,1,1)</definedName>
    <definedName name="graph_e_A_title">INDIRECT(VLOOKUP("name.A."&amp;#REF!,names!$A:$B,2,0))</definedName>
    <definedName name="graph_e_B_title">INDIRECT(VLOOKUP("name.B."&amp;#REF!,names!$A:$B,2,0))</definedName>
    <definedName name="graph_e_title">CONCATENATE([0]!graph_e_y_title, " (Graph e)")</definedName>
    <definedName name="graph_e_x_range_A">IF(ISREF([0]!graph_e_x_range_A_),[0]!graph_e_x_range_A_,{0})</definedName>
    <definedName name="graph_e_x_range_A_">INDEX(INDIRECT(VLOOKUP("range." &amp;#REF! &amp;"." &amp;#REF!, names!$A:$B,2,0)), 0, VLOOKUP("col." &amp;#REF! &amp;".A." &amp;#REF!, names!$A:$B,2,0))</definedName>
    <definedName name="graph_e_x_range_B">IF(ISREF([0]!graph_e_x_range_B_),[0]!graph_e_x_range_B_,{0})</definedName>
    <definedName name="graph_e_x_range_B_">INDEX(INDIRECT(VLOOKUP("range." &amp;#REF! &amp;"." &amp;#REF!, names!$A:$B,2,0)), 0, VLOOKUP("col." &amp;#REF! &amp;".B." &amp;#REF!, names!$A:$B,2,0))</definedName>
    <definedName name="graph_e_x_title">OFFSET([0]!all_cols, MATCH(#REF!, [0]!all_cols, 0)-1,1,1,1)</definedName>
    <definedName name="graph_e_y_range_A">IF(ISREF([0]!graph_e_y_range_A_),[0]!graph_e_y_range_A_,{0})</definedName>
    <definedName name="graph_e_y_range_A_">INDEX(INDIRECT(VLOOKUP("range." &amp;#REF! &amp;"." &amp;#REF!, names!$A:$B,2,0)), 0, VLOOKUP("col." &amp;#REF! &amp;".A." &amp;#REF!, names!$A:$B,2,0))</definedName>
    <definedName name="graph_e_y_range_B">IF(ISREF([0]!graph_e_y_range_B_),[0]!graph_e_y_range_B_,{0})</definedName>
    <definedName name="graph_e_y_range_B_">INDEX(INDIRECT(VLOOKUP("range." &amp;#REF! &amp;"." &amp;#REF!, names!$A:$B,2,0)), 0, VLOOKUP("col." &amp;#REF! &amp;".B." &amp;#REF!, names!$A:$B,2,0))</definedName>
    <definedName name="graph_e_y_title">OFFSET([0]!all_cols, MATCH(#REF!, [0]!all_cols, 0)-1,1,1,1)</definedName>
    <definedName name="graph_f_A_title">INDIRECT(VLOOKUP("name.A."&amp;#REF!,names!$A:$B,2,0))</definedName>
    <definedName name="graph_f_B_title">INDIRECT(VLOOKUP("name.B."&amp;#REF!,names!$A:$B,2,0))</definedName>
    <definedName name="graph_f_title">CONCATENATE([0]!graph_f_y_title, " (Graph f)")</definedName>
    <definedName name="graph_f_x_range_A">IF(ISREF([0]!graph_f_x_range_A_),[0]!graph_f_x_range_A_,{0})</definedName>
    <definedName name="graph_f_x_range_A_">INDEX(INDIRECT(VLOOKUP("range." &amp;#REF! &amp;"." &amp;#REF!, names!$A:$B,2,0)), 0, VLOOKUP("col." &amp;#REF! &amp;".A." &amp;#REF!, names!$A:$B,2,0))</definedName>
    <definedName name="graph_f_x_range_B">IF(ISREF([0]!graph_f_x_range_B_),[0]!graph_f_x_range_B_,{0})</definedName>
    <definedName name="graph_f_x_range_B_">INDEX(INDIRECT(VLOOKUP("range." &amp;#REF! &amp;"." &amp;#REF!, names!$A:$B,2,0)), 0, VLOOKUP("col." &amp;#REF! &amp;".B." &amp;#REF!, names!$A:$B,2,0))</definedName>
    <definedName name="graph_f_x_title">OFFSET([0]!all_cols, MATCH(#REF!, [0]!all_cols, 0)-1,1,1,1)</definedName>
    <definedName name="graph_f_y_range_A">IF(ISREF([0]!graph_f_y_range_A_),[0]!graph_f_y_range_A_,{0})</definedName>
    <definedName name="graph_f_y_range_A_">INDEX(INDIRECT(VLOOKUP("range." &amp;#REF! &amp;"." &amp;#REF!, names!$A:$B,2,0)), 0, VLOOKUP("col." &amp;#REF! &amp;".A." &amp;#REF!, names!$A:$B,2,0))</definedName>
    <definedName name="graph_f_y_range_B">IF(ISREF([0]!graph_f_y_range_B_),[0]!graph_f_y_range_B_,{0})</definedName>
    <definedName name="graph_f_y_range_B_">INDEX(INDIRECT(VLOOKUP("range." &amp;#REF! &amp;"." &amp;#REF!, names!$A:$B,2,0)), 0, VLOOKUP("col." &amp;#REF! &amp;".B." &amp;#REF!, names!$A:$B,2,0))</definedName>
    <definedName name="graph_f_y_title">OFFSET([0]!all_cols, MATCH(#REF!, [0]!all_cols, 0)-1,1,1,1)</definedName>
    <definedName name="OLE_LINK20" localSheetId="3">'C1'!#REF!</definedName>
    <definedName name="OLE_LINK41" localSheetId="3">'C1'!#REF!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7" i="1" l="1"/>
  <c r="I7" i="1"/>
  <c r="J7" i="1"/>
  <c r="K7" i="1"/>
  <c r="H8" i="1"/>
  <c r="I8" i="1"/>
  <c r="J8" i="1"/>
  <c r="K8" i="1"/>
  <c r="H9" i="1"/>
  <c r="I9" i="1"/>
  <c r="J9" i="1"/>
  <c r="K9" i="1"/>
  <c r="H10" i="1"/>
  <c r="I10" i="1"/>
  <c r="J10" i="1"/>
  <c r="K10" i="1"/>
  <c r="H11" i="1"/>
  <c r="I11" i="1"/>
  <c r="J11" i="1"/>
  <c r="K11" i="1"/>
  <c r="H12" i="1"/>
  <c r="I12" i="1"/>
  <c r="J12" i="1"/>
  <c r="K12" i="1"/>
  <c r="H13" i="1"/>
  <c r="I13" i="1"/>
  <c r="J13" i="1"/>
  <c r="K13" i="1"/>
  <c r="H14" i="1"/>
  <c r="I14" i="1"/>
  <c r="J14" i="1"/>
  <c r="K14" i="1"/>
  <c r="G7" i="1"/>
  <c r="G8" i="1"/>
  <c r="G9" i="1"/>
  <c r="G10" i="1"/>
  <c r="G11" i="1"/>
  <c r="G12" i="1"/>
  <c r="G13" i="1"/>
  <c r="G14" i="1"/>
  <c r="G15" i="1" s="1"/>
  <c r="F14" i="1"/>
  <c r="F13" i="1"/>
  <c r="F12" i="1"/>
  <c r="F11" i="1"/>
  <c r="F10" i="1"/>
  <c r="F9" i="1"/>
  <c r="F8" i="1"/>
  <c r="F7" i="1"/>
  <c r="F15" i="1" s="1"/>
  <c r="J15" i="1" l="1"/>
  <c r="I15" i="1"/>
  <c r="H15" i="1"/>
  <c r="K15" i="1"/>
  <c r="M85" i="22"/>
  <c r="M86" i="22"/>
  <c r="M87" i="22"/>
  <c r="M88" i="22"/>
  <c r="M84" i="22"/>
  <c r="M74" i="22"/>
  <c r="N74" i="22" s="1"/>
  <c r="M75" i="22"/>
  <c r="N75" i="22" s="1"/>
  <c r="M76" i="22"/>
  <c r="N76" i="22" s="1"/>
  <c r="M77" i="22"/>
  <c r="M73" i="22"/>
  <c r="N73" i="22" s="1"/>
  <c r="M41" i="22"/>
  <c r="N41" i="22" s="1"/>
  <c r="M42" i="22"/>
  <c r="M43" i="22"/>
  <c r="M44" i="22"/>
  <c r="M40" i="22"/>
  <c r="M30" i="22"/>
  <c r="M31" i="22"/>
  <c r="M32" i="22"/>
  <c r="M33" i="22"/>
  <c r="M29" i="22"/>
  <c r="L85" i="22"/>
  <c r="L86" i="22"/>
  <c r="N86" i="22" s="1"/>
  <c r="L87" i="22"/>
  <c r="L88" i="22"/>
  <c r="L84" i="22"/>
  <c r="L74" i="22"/>
  <c r="L75" i="22"/>
  <c r="L76" i="22"/>
  <c r="L77" i="22"/>
  <c r="L73" i="22"/>
  <c r="L41" i="22"/>
  <c r="L42" i="22"/>
  <c r="L43" i="22"/>
  <c r="L44" i="22"/>
  <c r="L40" i="22"/>
  <c r="L30" i="22"/>
  <c r="L31" i="22"/>
  <c r="L32" i="22"/>
  <c r="L33" i="22"/>
  <c r="L29" i="22"/>
  <c r="H85" i="22"/>
  <c r="H86" i="22"/>
  <c r="H87" i="22"/>
  <c r="H88" i="22"/>
  <c r="H84" i="22"/>
  <c r="H74" i="22"/>
  <c r="H75" i="22"/>
  <c r="J75" i="22" s="1"/>
  <c r="H76" i="22"/>
  <c r="H77" i="22"/>
  <c r="H73" i="22"/>
  <c r="J73" i="22" s="1"/>
  <c r="H41" i="22"/>
  <c r="H42" i="22"/>
  <c r="H43" i="22"/>
  <c r="H44" i="22"/>
  <c r="H40" i="22"/>
  <c r="D85" i="22"/>
  <c r="D86" i="22"/>
  <c r="D87" i="22"/>
  <c r="D88" i="22"/>
  <c r="D84" i="22"/>
  <c r="D74" i="22"/>
  <c r="D75" i="22"/>
  <c r="D76" i="22"/>
  <c r="D77" i="22"/>
  <c r="D73" i="22"/>
  <c r="D41" i="22"/>
  <c r="D42" i="22"/>
  <c r="D43" i="22"/>
  <c r="D44" i="22"/>
  <c r="D40" i="22"/>
  <c r="H30" i="22"/>
  <c r="H31" i="22"/>
  <c r="H32" i="22"/>
  <c r="H33" i="22"/>
  <c r="H29" i="22"/>
  <c r="D30" i="22"/>
  <c r="D31" i="22"/>
  <c r="D32" i="22"/>
  <c r="D33" i="22"/>
  <c r="J33" i="22" s="1"/>
  <c r="D29" i="22"/>
  <c r="L63" i="22"/>
  <c r="M63" i="22"/>
  <c r="L64" i="22"/>
  <c r="M64" i="22"/>
  <c r="L65" i="22"/>
  <c r="M65" i="22"/>
  <c r="L66" i="22"/>
  <c r="M66" i="22"/>
  <c r="M62" i="22"/>
  <c r="L62" i="22"/>
  <c r="H63" i="22"/>
  <c r="H64" i="22"/>
  <c r="H65" i="22"/>
  <c r="H66" i="22"/>
  <c r="H62" i="22"/>
  <c r="D63" i="22"/>
  <c r="D64" i="22"/>
  <c r="D65" i="22"/>
  <c r="J65" i="22" s="1"/>
  <c r="D66" i="22"/>
  <c r="D62" i="22"/>
  <c r="J62" i="22" s="1"/>
  <c r="L52" i="22"/>
  <c r="M52" i="22"/>
  <c r="N52" i="22" s="1"/>
  <c r="L53" i="22"/>
  <c r="M53" i="22"/>
  <c r="L54" i="22"/>
  <c r="M54" i="22"/>
  <c r="L55" i="22"/>
  <c r="M55" i="22"/>
  <c r="M51" i="22"/>
  <c r="L51" i="22"/>
  <c r="H52" i="22"/>
  <c r="H53" i="22"/>
  <c r="H54" i="22"/>
  <c r="H55" i="22"/>
  <c r="H51" i="22"/>
  <c r="D52" i="22"/>
  <c r="D53" i="22"/>
  <c r="D54" i="22"/>
  <c r="D55" i="22"/>
  <c r="D51" i="22"/>
  <c r="M90" i="22"/>
  <c r="L90" i="22"/>
  <c r="F88" i="22"/>
  <c r="B88" i="22"/>
  <c r="F87" i="22"/>
  <c r="B87" i="22"/>
  <c r="F86" i="22"/>
  <c r="B86" i="22"/>
  <c r="F85" i="22"/>
  <c r="B85" i="22"/>
  <c r="F84" i="22"/>
  <c r="B84" i="22"/>
  <c r="F81" i="22"/>
  <c r="L81" i="22" s="1"/>
  <c r="M79" i="22"/>
  <c r="L79" i="22"/>
  <c r="F77" i="22"/>
  <c r="B77" i="22"/>
  <c r="F76" i="22"/>
  <c r="B76" i="22"/>
  <c r="F75" i="22"/>
  <c r="B75" i="22"/>
  <c r="F74" i="22"/>
  <c r="B74" i="22"/>
  <c r="F73" i="22"/>
  <c r="B73" i="22"/>
  <c r="F70" i="22"/>
  <c r="L70" i="22" s="1"/>
  <c r="F66" i="22"/>
  <c r="F65" i="22"/>
  <c r="F64" i="22"/>
  <c r="F63" i="22"/>
  <c r="F62" i="22"/>
  <c r="B66" i="22"/>
  <c r="B65" i="22"/>
  <c r="B64" i="22"/>
  <c r="B63" i="22"/>
  <c r="F55" i="22"/>
  <c r="F54" i="22"/>
  <c r="F53" i="22"/>
  <c r="F52" i="22"/>
  <c r="F51" i="22"/>
  <c r="B55" i="22"/>
  <c r="B54" i="22"/>
  <c r="B53" i="22"/>
  <c r="B52" i="22"/>
  <c r="F44" i="22"/>
  <c r="F43" i="22"/>
  <c r="F42" i="22"/>
  <c r="F41" i="22"/>
  <c r="F40" i="22"/>
  <c r="B44" i="22"/>
  <c r="B43" i="22"/>
  <c r="B42" i="22"/>
  <c r="B41" i="22"/>
  <c r="F33" i="22"/>
  <c r="F32" i="22"/>
  <c r="F31" i="22"/>
  <c r="F30" i="22"/>
  <c r="B33" i="22"/>
  <c r="B32" i="22"/>
  <c r="B31" i="22"/>
  <c r="B30" i="22"/>
  <c r="F22" i="22"/>
  <c r="F21" i="22"/>
  <c r="F20" i="22"/>
  <c r="F19" i="22"/>
  <c r="F18" i="22"/>
  <c r="B22" i="22"/>
  <c r="B21" i="22"/>
  <c r="B20" i="22"/>
  <c r="B19" i="22"/>
  <c r="B11" i="22"/>
  <c r="B10" i="22"/>
  <c r="B9" i="22"/>
  <c r="B8" i="22"/>
  <c r="F11" i="22"/>
  <c r="F10" i="22"/>
  <c r="F9" i="22"/>
  <c r="F8" i="22"/>
  <c r="F7" i="22"/>
  <c r="F29" i="22"/>
  <c r="M68" i="22"/>
  <c r="L68" i="22"/>
  <c r="B62" i="22"/>
  <c r="F59" i="22"/>
  <c r="L59" i="22" s="1"/>
  <c r="M57" i="22"/>
  <c r="L57" i="22"/>
  <c r="B51" i="22"/>
  <c r="F48" i="22"/>
  <c r="L48" i="22" s="1"/>
  <c r="L22" i="22"/>
  <c r="M22" i="22"/>
  <c r="N22" i="22" s="1"/>
  <c r="H22" i="22"/>
  <c r="D22" i="22"/>
  <c r="M11" i="22"/>
  <c r="L11" i="22"/>
  <c r="H11" i="22"/>
  <c r="D11" i="22"/>
  <c r="L18" i="22"/>
  <c r="M18" i="22"/>
  <c r="L19" i="22"/>
  <c r="M19" i="22"/>
  <c r="L20" i="22"/>
  <c r="M20" i="22"/>
  <c r="L21" i="22"/>
  <c r="M21" i="22"/>
  <c r="H18" i="22"/>
  <c r="H19" i="22"/>
  <c r="H20" i="22"/>
  <c r="H21" i="22"/>
  <c r="D18" i="22"/>
  <c r="D19" i="22"/>
  <c r="D20" i="22"/>
  <c r="D21" i="22"/>
  <c r="M46" i="22"/>
  <c r="L46" i="22"/>
  <c r="B40" i="22"/>
  <c r="F37" i="22"/>
  <c r="M35" i="22"/>
  <c r="L35" i="22"/>
  <c r="B29" i="22"/>
  <c r="F26" i="22"/>
  <c r="M24" i="22"/>
  <c r="L24" i="22"/>
  <c r="B18" i="22"/>
  <c r="F15" i="22"/>
  <c r="AV10" i="5" a="1"/>
  <c r="AT35" i="5" a="1"/>
  <c r="AT20" i="5" a="1"/>
  <c r="AV5" i="5" a="1"/>
  <c r="AT5" i="5" a="1"/>
  <c r="AU15" i="5" a="1"/>
  <c r="AT25" i="5" a="1"/>
  <c r="AV40" i="5" a="1"/>
  <c r="P29" i="22" a="1"/>
  <c r="AU40" i="5" a="1"/>
  <c r="P62" i="22" a="1"/>
  <c r="AU5" i="5" a="1"/>
  <c r="P84" i="22" a="1"/>
  <c r="AT40" i="5" a="1"/>
  <c r="AU25" i="5" a="1"/>
  <c r="AU30" i="5" a="1"/>
  <c r="AU35" i="5" a="1"/>
  <c r="AV35" i="5" a="1"/>
  <c r="AT30" i="5" a="1"/>
  <c r="AU10" i="5" a="1"/>
  <c r="AV20" i="5" a="1"/>
  <c r="P73" i="22" a="1"/>
  <c r="AV25" i="5" a="1"/>
  <c r="P51" i="22" a="1"/>
  <c r="P18" i="22" a="1"/>
  <c r="P40" i="22" a="1"/>
  <c r="P7" i="22" a="1"/>
  <c r="AT10" i="5" a="1"/>
  <c r="AU20" i="5" a="1"/>
  <c r="AT15" i="5" a="1"/>
  <c r="AV30" i="5" a="1"/>
  <c r="AV15" i="5" a="1"/>
  <c r="N85" i="22" l="1"/>
  <c r="P84" i="22"/>
  <c r="P73" i="22"/>
  <c r="P62" i="22"/>
  <c r="P51" i="22"/>
  <c r="P40" i="22"/>
  <c r="P29" i="22"/>
  <c r="P18" i="22"/>
  <c r="P7" i="22"/>
  <c r="N77" i="22"/>
  <c r="J88" i="22"/>
  <c r="J87" i="22"/>
  <c r="J86" i="22"/>
  <c r="N88" i="22"/>
  <c r="J85" i="22"/>
  <c r="AU40" i="5"/>
  <c r="D14" i="1" s="1"/>
  <c r="AT40" i="5"/>
  <c r="C14" i="1" s="1"/>
  <c r="AV40" i="5"/>
  <c r="E14" i="1" s="1"/>
  <c r="AU35" i="5"/>
  <c r="D13" i="1" s="1"/>
  <c r="AV35" i="5"/>
  <c r="E13" i="1" s="1"/>
  <c r="AT35" i="5"/>
  <c r="C13" i="1" s="1"/>
  <c r="AU20" i="5"/>
  <c r="AV20" i="5"/>
  <c r="AT20" i="5"/>
  <c r="AV15" i="5"/>
  <c r="AU15" i="5"/>
  <c r="AT15" i="5"/>
  <c r="AV10" i="5"/>
  <c r="AU10" i="5"/>
  <c r="AT10" i="5"/>
  <c r="AV5" i="5"/>
  <c r="AU5" i="5"/>
  <c r="AT5" i="5"/>
  <c r="J89" i="22"/>
  <c r="J76" i="22"/>
  <c r="J79" i="22"/>
  <c r="N84" i="22"/>
  <c r="N40" i="22"/>
  <c r="N33" i="22"/>
  <c r="J74" i="22"/>
  <c r="J84" i="22"/>
  <c r="J90" i="22"/>
  <c r="N87" i="22"/>
  <c r="N19" i="22"/>
  <c r="AT30" i="5"/>
  <c r="C12" i="1" s="1"/>
  <c r="AU30" i="5"/>
  <c r="D12" i="1" s="1"/>
  <c r="AV30" i="5"/>
  <c r="E12" i="1" s="1"/>
  <c r="AU25" i="5"/>
  <c r="D11" i="1" s="1"/>
  <c r="AV25" i="5"/>
  <c r="E11" i="1" s="1"/>
  <c r="AT25" i="5"/>
  <c r="C11" i="1" s="1"/>
  <c r="N31" i="22"/>
  <c r="N43" i="22"/>
  <c r="J77" i="22"/>
  <c r="N63" i="22"/>
  <c r="N66" i="22"/>
  <c r="N55" i="22"/>
  <c r="N54" i="22"/>
  <c r="N65" i="22"/>
  <c r="J64" i="22"/>
  <c r="N64" i="22"/>
  <c r="N21" i="22"/>
  <c r="N20" i="22"/>
  <c r="N32" i="22"/>
  <c r="J44" i="22"/>
  <c r="J78" i="22"/>
  <c r="N29" i="22"/>
  <c r="J53" i="22"/>
  <c r="J19" i="22"/>
  <c r="N62" i="22"/>
  <c r="J57" i="22"/>
  <c r="J54" i="22"/>
  <c r="J66" i="22"/>
  <c r="N53" i="22"/>
  <c r="J20" i="22"/>
  <c r="J52" i="22"/>
  <c r="J41" i="22"/>
  <c r="J40" i="22"/>
  <c r="J67" i="22"/>
  <c r="J63" i="22"/>
  <c r="J68" i="22"/>
  <c r="J51" i="22"/>
  <c r="N51" i="22"/>
  <c r="J55" i="22"/>
  <c r="J56" i="22"/>
  <c r="N44" i="22"/>
  <c r="N18" i="22"/>
  <c r="N30" i="22"/>
  <c r="J43" i="22"/>
  <c r="J32" i="22"/>
  <c r="J11" i="22"/>
  <c r="N11" i="22"/>
  <c r="J46" i="22"/>
  <c r="N42" i="22"/>
  <c r="J24" i="22"/>
  <c r="J22" i="22"/>
  <c r="J18" i="22"/>
  <c r="J35" i="22"/>
  <c r="J30" i="22"/>
  <c r="J29" i="22"/>
  <c r="J31" i="22"/>
  <c r="J42" i="22"/>
  <c r="J21" i="22"/>
  <c r="L37" i="22"/>
  <c r="J45" i="22"/>
  <c r="L26" i="22"/>
  <c r="J34" i="22"/>
  <c r="L15" i="22"/>
  <c r="J23" i="22"/>
  <c r="M7" i="22" l="1"/>
  <c r="M8" i="22"/>
  <c r="M9" i="22"/>
  <c r="M10" i="22"/>
  <c r="L7" i="22"/>
  <c r="L8" i="22"/>
  <c r="L9" i="22"/>
  <c r="L10" i="22"/>
  <c r="H10" i="22"/>
  <c r="H8" i="22"/>
  <c r="H7" i="22"/>
  <c r="H9" i="22"/>
  <c r="D10" i="22"/>
  <c r="D8" i="22"/>
  <c r="D7" i="22"/>
  <c r="D9" i="22"/>
  <c r="F2" i="22"/>
  <c r="B2" i="22"/>
  <c r="L6" i="22" s="1"/>
  <c r="M13" i="22"/>
  <c r="L13" i="22"/>
  <c r="B7" i="22"/>
  <c r="F4" i="22"/>
  <c r="L28" i="22" l="1"/>
  <c r="L50" i="22"/>
  <c r="L39" i="22"/>
  <c r="L17" i="22"/>
  <c r="L83" i="22"/>
  <c r="L72" i="22"/>
  <c r="L61" i="22"/>
  <c r="M6" i="22"/>
  <c r="M39" i="22"/>
  <c r="M50" i="22"/>
  <c r="M17" i="22"/>
  <c r="M28" i="22"/>
  <c r="M83" i="22"/>
  <c r="M72" i="22"/>
  <c r="M61" i="22"/>
  <c r="L4" i="22"/>
  <c r="J13" i="22" l="1"/>
  <c r="J12" i="22"/>
  <c r="J8" i="22"/>
  <c r="J9" i="22"/>
  <c r="N9" i="22"/>
  <c r="N8" i="22"/>
  <c r="N7" i="22"/>
  <c r="J7" i="22"/>
  <c r="D10" i="1"/>
  <c r="E10" i="1"/>
  <c r="D9" i="1"/>
  <c r="E9" i="1"/>
  <c r="D8" i="1"/>
  <c r="E8" i="1"/>
  <c r="C10" i="1"/>
  <c r="C9" i="1"/>
  <c r="C8" i="1"/>
  <c r="D7" i="1"/>
  <c r="D15" i="1" s="1"/>
  <c r="E7" i="1"/>
  <c r="E15" i="1" s="1"/>
  <c r="N10" i="22" l="1"/>
  <c r="J10" i="22"/>
  <c r="C7" i="1" l="1"/>
  <c r="C1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<sst xmlns="http://schemas.openxmlformats.org/spreadsheetml/2006/main" count="1746" uniqueCount="1277">
  <si>
    <t>dec.cb-psnr</t>
  </si>
  <si>
    <t>dec.cr-psnr</t>
  </si>
  <si>
    <t>dec.enc.match</t>
  </si>
  <si>
    <t>dec.ext.maxrssk</t>
  </si>
  <si>
    <t>dec.numpoints</t>
  </si>
  <si>
    <t>dec.reflectance-hpsnr</t>
  </si>
  <si>
    <t>dec.reflectance-psnr</t>
  </si>
  <si>
    <t>dec.utime</t>
  </si>
  <si>
    <t>dec.y-hpsnr</t>
  </si>
  <si>
    <t>dec.y-psnr</t>
  </si>
  <si>
    <t>enc.bits.colour</t>
  </si>
  <si>
    <t>enc.bits.geometry</t>
  </si>
  <si>
    <t>enc.bits.reflectance</t>
  </si>
  <si>
    <t>enc.ext.bits</t>
  </si>
  <si>
    <t>enc.ext.maxrssk</t>
  </si>
  <si>
    <t>enc.utime</t>
  </si>
  <si>
    <t>eqn.bitrate</t>
  </si>
  <si>
    <t>eqn.bpop</t>
  </si>
  <si>
    <t>eqn.bpp</t>
  </si>
  <si>
    <t>eqn.bpp.colour</t>
  </si>
  <si>
    <t>eqn.bpp.geometry</t>
  </si>
  <si>
    <t>eqn.bpp.reflectance</t>
  </si>
  <si>
    <t>Sequence</t>
  </si>
  <si>
    <t>sequence</t>
  </si>
  <si>
    <t>Variant</t>
  </si>
  <si>
    <t>variant</t>
  </si>
  <si>
    <t>Geometry precision [bits]</t>
  </si>
  <si>
    <t>Total</t>
  </si>
  <si>
    <t>Geometry</t>
  </si>
  <si>
    <t>A.dec.numpoints</t>
  </si>
  <si>
    <t>Bitstream [bits]</t>
  </si>
  <si>
    <t>A.enc.ext.bits</t>
  </si>
  <si>
    <t>A.enc.bits.geometry</t>
  </si>
  <si>
    <t>A.enc.bits.reflectance</t>
  </si>
  <si>
    <t>A.dec.y-psnr</t>
  </si>
  <si>
    <t>A.dec.cb-psnr</t>
  </si>
  <si>
    <t>A.dec.cr-psnr</t>
  </si>
  <si>
    <t>A.enc.utime</t>
  </si>
  <si>
    <t>A.dec.utime</t>
  </si>
  <si>
    <t>B.dec.numpoints</t>
  </si>
  <si>
    <t>B.dec.y-psnr</t>
  </si>
  <si>
    <t>B.dec.cb-psnr</t>
  </si>
  <si>
    <t>B.dec.cr-psnr</t>
  </si>
  <si>
    <t>B.enc.utime</t>
  </si>
  <si>
    <t>B.dec.utime</t>
  </si>
  <si>
    <t>eqn.ab.bdrate-y</t>
  </si>
  <si>
    <t>eqn.ab.bdrate-cb</t>
  </si>
  <si>
    <t>eqn.ab.bdrate-cr</t>
  </si>
  <si>
    <t>r01</t>
  </si>
  <si>
    <t>r02</t>
  </si>
  <si>
    <t>r03</t>
  </si>
  <si>
    <t>r04</t>
  </si>
  <si>
    <t>r05</t>
  </si>
  <si>
    <t>Rate</t>
  </si>
  <si>
    <t>col.AVSC2 losslG,lossyA,intra.variant</t>
  </si>
  <si>
    <t>col.AVSC2 losslG,lossyA,intra.src.numpoints</t>
  </si>
  <si>
    <t>col.AVSC2 losslG,lossyA,intra.src.geometry-precision</t>
  </si>
  <si>
    <t>col.AVSC2 losslG,lossyA,intra.src.framecount</t>
  </si>
  <si>
    <t>col.AVSC2 losslG,lossyA,intra.src.framerate</t>
  </si>
  <si>
    <t>col.AVSC2 losslG,lossyA,intra.A.eqn.bitrate</t>
  </si>
  <si>
    <t>col.AVSC2 losslG,lossyA,intra.A.eqn.bpp</t>
  </si>
  <si>
    <t>col.AVSC2 losslG,lossyA,intra.A.eqn.bpp.geometry</t>
  </si>
  <si>
    <t>col.AVSC2 losslG,lossyA,intra.A.eqn.bpp.colour</t>
  </si>
  <si>
    <t>col.AVSC2 losslG,lossyA,intra.A.eqn.bpop</t>
  </si>
  <si>
    <t>col.AVSC2 losslG,lossyA,intra.A.dec.numpoints</t>
  </si>
  <si>
    <t>col.AVSC2 losslG,lossyA,intra.A.enc.ext.bits</t>
  </si>
  <si>
    <t>col.AVSC2 losslG,lossyA,intra.A.enc.bits.geometry</t>
  </si>
  <si>
    <t>col.AVSC2 losslG,lossyA,intra.A.enc.bits.colour</t>
  </si>
  <si>
    <t>col.AVSC2 losslG,lossyA,intra.A.enc.bits.reflectance</t>
  </si>
  <si>
    <t>col.AVSC2 losslG,lossyA,intra.A.dec.y-psnr</t>
  </si>
  <si>
    <t>col.AVSC2 losslG,lossyA,intra.A.dec.cb-psnr</t>
  </si>
  <si>
    <t>col.AVSC2 losslG,lossyA,intra.A.dec.cr-psnr</t>
  </si>
  <si>
    <t>col.AVSC2 losslG,lossyA,intra.A.dec.reflectance-psnr</t>
  </si>
  <si>
    <t>col.AVSC2 losslG,lossyA,intra.A.enc.utime</t>
  </si>
  <si>
    <t>col.AVSC2 losslG,lossyA,intra.A.dec.utime</t>
  </si>
  <si>
    <t>col.AVSC2 losslG,lossyA,intra.A.enc.ext.maxrssk</t>
  </si>
  <si>
    <t>col.AVSC2 losslG,lossyA,intra.A.dec.ext.maxrssk</t>
  </si>
  <si>
    <t>col.AVSC2 losslG,lossyA,intra.A.dec.enc.match</t>
  </si>
  <si>
    <t>col.AVSC2 losslG,lossyA,intra.B.eqn.bitrate</t>
  </si>
  <si>
    <t>col.AVSC2 losslG,lossyA,intra.B.eqn.bpp</t>
  </si>
  <si>
    <t>col.AVSC2 losslG,lossyA,intra.B.eqn.bpp.geometry</t>
  </si>
  <si>
    <t>col.AVSC2 losslG,lossyA,intra.B.eqn.bpp.colour</t>
  </si>
  <si>
    <t>col.AVSC2 losslG,lossyA,intra.B.eqn.bpp.reflectance</t>
  </si>
  <si>
    <t>col.AVSC2 losslG,lossyA,intra.B.eqn.bpop</t>
  </si>
  <si>
    <t>col.AVSC2 losslG,lossyA,intra.B.dec.numpoints</t>
  </si>
  <si>
    <t>col.AVSC2 losslG,lossyA,intra.B.enc.ext.bits</t>
  </si>
  <si>
    <t>col.AVSC2 losslG,lossyA,intra.B.enc.bits.geometry</t>
  </si>
  <si>
    <t>col.AVSC2 losslG,lossyA,intra.B.enc.bits.colour</t>
  </si>
  <si>
    <t>col.AVSC2 losslG,lossyA,intra.B.enc.bits.reflectance</t>
  </si>
  <si>
    <t>col.AVSC2 losslG,lossyA,intra.B.dec.y-psnr</t>
  </si>
  <si>
    <t>col.AVSC2 losslG,lossyA,intra.B.dec.cb-psnr</t>
  </si>
  <si>
    <t>col.AVSC2 losslG,lossyA,intra.B.dec.cr-psnr</t>
  </si>
  <si>
    <t>col.AVSC2 losslG,lossyA,intra.B.dec.reflectance-psnr</t>
  </si>
  <si>
    <t>col.AVSC2 losslG,lossyA,intra.B.enc.utime</t>
  </si>
  <si>
    <t>col.AVSC2 losslG,lossyA,intra.B.dec.utime</t>
  </si>
  <si>
    <t>col.AVSC2 losslG,lossyA,intra.B.enc.ext.maxrssk</t>
  </si>
  <si>
    <t>col.AVSC2 losslG,lossyA,intra.B.dec.ext.maxrssk</t>
  </si>
  <si>
    <t>col.AVSC2 losslG,lossyA,intra.B.dec.enc.match</t>
  </si>
  <si>
    <t>name.A.AVSC2 losslG,lossyA,intra</t>
  </si>
  <si>
    <t>name.B.AVSC2 losslG,lossyA,intra</t>
  </si>
  <si>
    <t>cols.AVSC2 losslG,lossyA,intra</t>
  </si>
  <si>
    <t>col.AVSC2 losslG,lossyA,intra.class</t>
  </si>
  <si>
    <t>col.AVSC2 losslG,lossyA,intra.sequence</t>
  </si>
  <si>
    <t>col.AVSC4 losslG,losslA,intra.class</t>
  </si>
  <si>
    <t>col.AVSC4 losslG,losslA,intra.sequence</t>
  </si>
  <si>
    <t>col.AVSC4 losslG,losslA,intra.src.numpoints</t>
  </si>
  <si>
    <t>col.AVSC4 losslG,losslA,intra.src.geometry-precision</t>
  </si>
  <si>
    <t>col.AVSC4 losslG,losslA,intra.src.framecount</t>
  </si>
  <si>
    <t>col.AVSC4 losslG,losslA,intra.src.framerate</t>
  </si>
  <si>
    <t>col.AVSC4 losslG,losslA,intra.A.eqn.bitrate</t>
  </si>
  <si>
    <t>col.AVSC4 losslG,losslA,intra.A.eqn.bpp</t>
  </si>
  <si>
    <t>col.AVSC4 losslG,losslA,intra.A.eqn.bpp.geometry</t>
  </si>
  <si>
    <t>col.AVSC4 losslG,losslA,intra.A.eqn.bpp.colour</t>
  </si>
  <si>
    <t>col.AVSC4 losslG,losslA,intra.A.eqn.bpp.reflectance</t>
  </si>
  <si>
    <t>col.AVSC4 losslG,losslA,intra.A.eqn.bpop</t>
  </si>
  <si>
    <t>col.AVSC4 losslG,losslA,intra.A.dec.numpoints</t>
  </si>
  <si>
    <t>col.AVSC4 losslG,losslA,intra.A.enc.ext.bits</t>
  </si>
  <si>
    <t>col.AVSC4 losslG,losslA,intra.A.enc.bits.geometry</t>
  </si>
  <si>
    <t>col.AVSC4 losslG,losslA,intra.A.enc.bits.colour</t>
  </si>
  <si>
    <t>col.AVSC4 losslG,losslA,intra.A.enc.bits.reflectance</t>
  </si>
  <si>
    <t>col.AVSC4 losslG,losslA,intra.A.enc.utime</t>
  </si>
  <si>
    <t>col.AVSC4 losslG,losslA,intra.A.dec.utime</t>
  </si>
  <si>
    <t>col.AVSC4 losslG,losslA,intra.A.enc.ext.maxrssk</t>
  </si>
  <si>
    <t>col.AVSC4 losslG,losslA,intra.A.dec.ext.maxrssk</t>
  </si>
  <si>
    <t>col.AVSC4 losslG,losslA,intra.A.dec.enc.match</t>
  </si>
  <si>
    <t>col.AVSC4 losslG,losslA,intra.B.eqn.bitrate</t>
  </si>
  <si>
    <t>col.AVSC4 losslG,losslA,intra.B.eqn.bpp</t>
  </si>
  <si>
    <t>col.AVSC4 losslG,losslA,intra.B.eqn.bpp.geometry</t>
  </si>
  <si>
    <t>col.AVSC4 losslG,losslA,intra.B.eqn.bpp.colour</t>
  </si>
  <si>
    <t>col.AVSC4 losslG,losslA,intra.B.eqn.bpp.reflectance</t>
  </si>
  <si>
    <t>col.AVSC4 losslG,losslA,intra.B.eqn.bpop</t>
  </si>
  <si>
    <t>col.AVSC4 losslG,losslA,intra.B.dec.numpoints</t>
  </si>
  <si>
    <t>col.AVSC4 losslG,losslA,intra.B.enc.ext.bits</t>
  </si>
  <si>
    <t>col.AVSC4 losslG,losslA,intra.B.enc.bits.geometry</t>
  </si>
  <si>
    <t>col.AVSC4 losslG,losslA,intra.B.enc.bits.colour</t>
  </si>
  <si>
    <t>col.AVSC4 losslG,losslA,intra.B.enc.bits.reflectance</t>
  </si>
  <si>
    <t>col.AVSC4 losslG,losslA,intra.B.enc.utime</t>
  </si>
  <si>
    <t>col.AVSC4 losslG,losslA,intra.B.dec.utime</t>
  </si>
  <si>
    <t>col.AVSC4 losslG,losslA,intra.B.enc.ext.maxrssk</t>
  </si>
  <si>
    <t>col.AVSC4 losslG,losslA,intra.B.dec.ext.maxrssk</t>
  </si>
  <si>
    <t>col.AVSC4 losslG,losslA,intra.B.dec.enc.match</t>
  </si>
  <si>
    <t>col.AVSC4 losslG,losslA,intra.eqn.ab.ratio-bpp</t>
  </si>
  <si>
    <t>col.AVSC4 losslG,losslA,intra.eqn.ab.ratio-bpp-geometry</t>
  </si>
  <si>
    <t>col.AVSC4 losslG,losslA,intra.eqn.ab.ratio-bpp-colour</t>
  </si>
  <si>
    <t>col.AVSC4 losslG,losslA,intra.eqn.ab.ratio-bpp-reflectance</t>
  </si>
  <si>
    <t>col.AVSC4 losslG,losslA,intra.eqn.ab.ratio-enc-maxrssk</t>
  </si>
  <si>
    <t>col.AVSC4 losslG,losslA,intra.eqn.ab.ratio-dec-maxrssk</t>
  </si>
  <si>
    <t>name.A.AVSC4 losslG,losslA,intra</t>
  </si>
  <si>
    <t>name.B.AVSC4 losslG,losslA,intra</t>
  </si>
  <si>
    <t>cols.AVSC4 losslG,losslA,intra</t>
  </si>
  <si>
    <t>col.AVSC1 limit-lossyG,lossyA,intra.class</t>
  </si>
  <si>
    <t>col.AVSC1 limit-lossyG,lossyA,intra.sequence</t>
  </si>
  <si>
    <t>col.AVSC1 limit-lossyG,lossyA,intra.variant</t>
  </si>
  <si>
    <t>col.AVSC1 limit-lossyG,lossyA,intra.src.framecount</t>
  </si>
  <si>
    <t>col.AVSC1 limit-lossyG,lossyA,intra.src.framerate</t>
  </si>
  <si>
    <t>col.AVSC1 limit-lossyG,lossyA,intra.A.eqn.bitrate</t>
  </si>
  <si>
    <t>col.AVSC1 limit-lossyG,lossyA,intra.A.eqn.bpp</t>
  </si>
  <si>
    <t>col.AVSC1 limit-lossyG,lossyA,intra.A.eqn.bpp.geometry</t>
  </si>
  <si>
    <t>col.AVSC1 limit-lossyG,lossyA,intra.A.eqn.bpp.colour</t>
  </si>
  <si>
    <t>col.AVSC1 limit-lossyG,lossyA,intra.A.eqn.bpop</t>
  </si>
  <si>
    <t>col.AVSC1 limit-lossyG,lossyA,intra.A.dec.numpoints</t>
  </si>
  <si>
    <t>col.AVSC1 limit-lossyG,lossyA,intra.A.enc.ext.bits</t>
  </si>
  <si>
    <t>col.AVSC1 limit-lossyG,lossyA,intra.A.enc.bits.geometry</t>
  </si>
  <si>
    <t>col.AVSC1 limit-lossyG,lossyA,intra.A.enc.bits.colour</t>
  </si>
  <si>
    <t>col.AVSC1 limit-lossyG,lossyA,intra.A.enc.bits.reflectance</t>
  </si>
  <si>
    <t>col.AVSC1 limit-lossyG,lossyA,intra.A.dec.y-psnr</t>
  </si>
  <si>
    <t>col.AVSC1 limit-lossyG,lossyA,intra.A.dec.cb-psnr</t>
  </si>
  <si>
    <t>col.AVSC1 limit-lossyG,lossyA,intra.A.dec.cr-psnr</t>
  </si>
  <si>
    <t>col.AVSC1 limit-lossyG,lossyA,intra.A.dec.reflectance-psnr</t>
  </si>
  <si>
    <t>col.AVSC1 limit-lossyG,lossyA,intra.A.enc.utime</t>
  </si>
  <si>
    <t>col.AVSC1 limit-lossyG,lossyA,intra.A.dec.utime</t>
  </si>
  <si>
    <t>col.AVSC1 limit-lossyG,lossyA,intra.A.enc.ext.maxrssk</t>
  </si>
  <si>
    <t>col.AVSC1 limit-lossyG,lossyA,intra.B.eqn.bitrate</t>
  </si>
  <si>
    <t>col.AVSC1 limit-lossyG,lossyA,intra.B.eqn.bpp</t>
  </si>
  <si>
    <t>col.AVSC1 limit-lossyG,lossyA,intra.B.eqn.bpp.geometry</t>
  </si>
  <si>
    <t>col.AVSC1 limit-lossyG,lossyA,intra.B.eqn.bpp.colour</t>
  </si>
  <si>
    <t>col.AVSC1 limit-lossyG,lossyA,intra.B.eqn.bpp.reflectance</t>
  </si>
  <si>
    <t>col.AVSC1 limit-lossyG,lossyA,intra.B.eqn.bpop</t>
  </si>
  <si>
    <t>col.AVSC1 limit-lossyG,lossyA,intra.B.dec.numpoints</t>
  </si>
  <si>
    <t>col.AVSC1 limit-lossyG,lossyA,intra.B.enc.ext.bits</t>
  </si>
  <si>
    <t>col.AVSC1 limit-lossyG,lossyA,intra.B.enc.bits.geometry</t>
  </si>
  <si>
    <t>col.AVSC1 limit-lossyG,lossyA,intra.B.enc.bits.colour</t>
  </si>
  <si>
    <t>col.AVSC1 limit-lossyG,lossyA,intra.B.enc.bits.reflectance</t>
  </si>
  <si>
    <t>col.AVSC1 limit-lossyG,lossyA,intra.B.dec.y-psnr</t>
  </si>
  <si>
    <t>col.AVSC1 limit-lossyG,lossyA,intra.B.dec.cb-psnr</t>
  </si>
  <si>
    <t>col.AVSC1 limit-lossyG,lossyA,intra.B.dec.cr-psnr</t>
  </si>
  <si>
    <t>col.AVSC1 limit-lossyG,lossyA,intra.B.dec.reflectance-psnr</t>
  </si>
  <si>
    <t>col.AVSC1 limit-lossyG,lossyA,intra.B.enc.utime</t>
  </si>
  <si>
    <t>col.AVSC1 limit-lossyG,lossyA,intra.B.dec.utime</t>
  </si>
  <si>
    <t>col.AVSC1 limit-lossyG,lossyA,intra.B.enc.ext.maxrssk</t>
  </si>
  <si>
    <t>col.AVSC1 limit-lossyG,lossyA,intra.B.dec.ext.maxrssk</t>
  </si>
  <si>
    <t>name.A.AVSC1 limit-lossyG,lossyA,intra</t>
  </si>
  <si>
    <t>name.B.AVSC1 limit-lossyG,lossyA,intra</t>
  </si>
  <si>
    <t>cols.AVSC1 limit-lossyG,lossyA,intra</t>
  </si>
  <si>
    <t>col.AVSC3 losslG,limit-lossyA,intra.class</t>
  </si>
  <si>
    <t>col.AVSC3 losslG,limit-lossyA,intra.sequence</t>
  </si>
  <si>
    <t>col.AVSC3 losslG,limit-lossyA,intra.variant</t>
  </si>
  <si>
    <t>col.AVSC3 losslG,limit-lossyA,intra.src.numpoints</t>
  </si>
  <si>
    <t>col.AVSC3 losslG,limit-lossyA,intra.src.geometry-precision</t>
  </si>
  <si>
    <t>col.AVSC3 losslG,limit-lossyA,intra.src.framecount</t>
  </si>
  <si>
    <t>col.AVSC3 losslG,limit-lossyA,intra.src.framerate</t>
  </si>
  <si>
    <t>col.AVSC3 losslG,limit-lossyA,intra.A.eqn.bitrate</t>
  </si>
  <si>
    <t>col.AVSC3 losslG,limit-lossyA,intra.A.eqn.bpp</t>
  </si>
  <si>
    <t>col.AVSC3 losslG,limit-lossyA,intra.A.eqn.bpp.geometry</t>
  </si>
  <si>
    <t>col.AVSC3 losslG,limit-lossyA,intra.A.eqn.bpp.colour</t>
  </si>
  <si>
    <t>col.AVSC3 losslG,limit-lossyA,intra.A.eqn.bpp.reflectance</t>
  </si>
  <si>
    <t>col.AVSC3 losslG,limit-lossyA,intra.A.eqn.bpop</t>
  </si>
  <si>
    <t>col.AVSC3 losslG,limit-lossyA,intra.A.dec.numpoints</t>
  </si>
  <si>
    <t>col.AVSC3 losslG,limit-lossyA,intra.A.enc.ext.bits</t>
  </si>
  <si>
    <t>col.AVSC3 losslG,limit-lossyA,intra.A.enc.bits.geometry</t>
  </si>
  <si>
    <t>col.AVSC3 losslG,limit-lossyA,intra.A.enc.bits.colour</t>
  </si>
  <si>
    <t>col.AVSC3 losslG,limit-lossyA,intra.A.enc.bits.reflectance</t>
  </si>
  <si>
    <t>col.AVSC3 losslG,limit-lossyA,intra.A.dec.y-psnr</t>
  </si>
  <si>
    <t>col.AVSC3 losslG,limit-lossyA,intra.A.dec.cb-psnr</t>
  </si>
  <si>
    <t>col.AVSC3 losslG,limit-lossyA,intra.A.dec.cr-psnr</t>
  </si>
  <si>
    <t>col.AVSC3 losslG,limit-lossyA,intra.A.dec.reflectance-psnr</t>
  </si>
  <si>
    <t>col.AVSC3 losslG,limit-lossyA,intra.A.dec.y-hpsnr</t>
  </si>
  <si>
    <t>col.AVSC3 losslG,limit-lossyA,intra.A.dec.cb-hpsnr</t>
  </si>
  <si>
    <t>col.AVSC3 losslG,limit-lossyA,intra.A.dec.cr-hpsnr</t>
  </si>
  <si>
    <t>col.AVSC3 losslG,limit-lossyA,intra.A.dec.reflectance-hpsnr</t>
  </si>
  <si>
    <t>col.AVSC3 losslG,limit-lossyA,intra.A.enc.utime</t>
  </si>
  <si>
    <t>col.AVSC3 losslG,limit-lossyA,intra.A.dec.utime</t>
  </si>
  <si>
    <t>col.AVSC3 losslG,limit-lossyA,intra.A.enc.ext.maxrssk</t>
  </si>
  <si>
    <t>col.AVSC3 losslG,limit-lossyA,intra.A.dec.ext.maxrssk</t>
  </si>
  <si>
    <t>col.AVSC3 losslG,limit-lossyA,intra.A.dec.enc.match</t>
  </si>
  <si>
    <t>col.AVSC3 losslG,limit-lossyA,intra.B.eqn.bitrate</t>
  </si>
  <si>
    <t>col.AVSC3 losslG,limit-lossyA,intra.B.eqn.bpp</t>
  </si>
  <si>
    <t>col.AVSC3 losslG,limit-lossyA,intra.B.eqn.bpp.geometry</t>
  </si>
  <si>
    <t>col.AVSC3 losslG,limit-lossyA,intra.B.eqn.bpp.colour</t>
  </si>
  <si>
    <t>col.AVSC3 losslG,limit-lossyA,intra.B.eqn.bpp.reflectance</t>
  </si>
  <si>
    <t>col.AVSC3 losslG,limit-lossyA,intra.B.eqn.bpop</t>
  </si>
  <si>
    <t>col.AVSC3 losslG,limit-lossyA,intra.B.dec.numpoints</t>
  </si>
  <si>
    <t>col.AVSC3 losslG,limit-lossyA,intra.B.enc.ext.bits</t>
  </si>
  <si>
    <t>col.AVSC3 losslG,limit-lossyA,intra.B.enc.bits.geometry</t>
  </si>
  <si>
    <t>col.AVSC3 losslG,limit-lossyA,intra.B.enc.bits.colour</t>
  </si>
  <si>
    <t>col.AVSC3 losslG,limit-lossyA,intra.B.enc.bits.reflectance</t>
  </si>
  <si>
    <t>col.AVSC3 losslG,limit-lossyA,intra.B.dec.y-psnr</t>
  </si>
  <si>
    <t>col.AVSC3 losslG,limit-lossyA,intra.B.dec.cb-psnr</t>
  </si>
  <si>
    <t>col.AVSC3 losslG,limit-lossyA,intra.B.dec.cr-psnr</t>
  </si>
  <si>
    <t>col.AVSC3 losslG,limit-lossyA,intra.B.dec.reflectance-psnr</t>
  </si>
  <si>
    <t>col.AVSC3 losslG,limit-lossyA,intra.B.dec.y-hpsnr</t>
  </si>
  <si>
    <t>col.AVSC3 losslG,limit-lossyA,intra.B.dec.cb-hpsnr</t>
  </si>
  <si>
    <t>col.AVSC3 losslG,limit-lossyA,intra.B.dec.cr-hpsnr</t>
  </si>
  <si>
    <t>col.AVSC3 losslG,limit-lossyA,intra.B.dec.reflectance-hpsnr</t>
  </si>
  <si>
    <t>col.AVSC3 losslG,limit-lossyA,intra.B.enc.utime</t>
  </si>
  <si>
    <t>col.AVSC3 losslG,limit-lossyA,intra.B.dec.utime</t>
  </si>
  <si>
    <t>col.AVSC3 losslG,limit-lossyA,intra.B.enc.ext.maxrssk</t>
  </si>
  <si>
    <t>col.AVSC3 losslG,limit-lossyA,intra.B.dec.ext.maxrssk</t>
  </si>
  <si>
    <t>col.AVSC3 losslG,limit-lossyA,intra.B.dec.enc.match</t>
  </si>
  <si>
    <t>col.AVSC3 losslG,limit-lossyA,intra.eqn.ab.ratio-enc-maxrssk</t>
  </si>
  <si>
    <t>col.AVSC3 losslG,limit-lossyA,intra.eqn.ab.ratio-dec-maxrssk</t>
  </si>
  <si>
    <t>col.AVSC3 losslG,limit-lossyA,intra.eqn.ab.bdrate-y-attrrate</t>
  </si>
  <si>
    <t>col.AVSC3 losslG,limit-lossyA,intra.eqn.ab.bdrate-cb-attrrate</t>
  </si>
  <si>
    <t>col.AVSC3 losslG,limit-lossyA,intra.eqn.ab.bdrate-cr-attrrate</t>
  </si>
  <si>
    <t>col.AVSC3 losslG,limit-lossyA,intra.eqn.ab.bdrate-reflectance-attrrate</t>
  </si>
  <si>
    <t>col.AVSC3 losslG,limit-lossyA,intra.eqn.ab.bdrate-hy-attrrate</t>
  </si>
  <si>
    <t>col.AVSC3 losslG,limit-lossyA,intra.eqn.ab.bdrate-hcb-attrrate</t>
  </si>
  <si>
    <t>col.AVSC3 losslG,limit-lossyA,intra.eqn.ab.bdrate-hcr-attrrate</t>
  </si>
  <si>
    <t>col.AVSC3 losslG,limit-lossyA,intra.eqn.ab.bdrate-hreflectance-attrrate</t>
  </si>
  <si>
    <t>col.AVSC3 losslG,limit-lossyA,intra.eqn.ab.bdrate-y</t>
  </si>
  <si>
    <t>col.AVSC3 losslG,limit-lossyA,intra.eqn.ab.bdrate-cb</t>
  </si>
  <si>
    <t>col.AVSC3 losslG,limit-lossyA,intra.eqn.ab.bdrate-cr</t>
  </si>
  <si>
    <t>col.AVSC3 losslG,limit-lossyA,intra.eqn.ab.bdrate-reflectance</t>
  </si>
  <si>
    <t>col.AVSC3 losslG,limit-lossyA,intra.eqn.ab.bdrate-hy</t>
  </si>
  <si>
    <t>col.AVSC3 losslG,limit-lossyA,intra.eqn.ab.bdrate-hcb</t>
  </si>
  <si>
    <t>col.AVSC3 losslG,limit-lossyA,intra.eqn.ab.bdrate-hcr</t>
  </si>
  <si>
    <t>col.AVSC3 losslG,limit-lossyA,intra.eqn.ab.bdrate-hreflectance</t>
  </si>
  <si>
    <t>name.A.AVSC3 losslG,limit-lossyA,intra</t>
  </si>
  <si>
    <t>name.B.AVSC3 losslG,limit-lossyA,intra</t>
  </si>
  <si>
    <t>cols.AVSC3 losslG,limit-lossyA,intra</t>
  </si>
  <si>
    <t>dec.cr-hpsnr</t>
    <phoneticPr fontId="5" type="noConversion"/>
  </si>
  <si>
    <t>dec.cb-hpsnr</t>
    <phoneticPr fontId="5" type="noConversion"/>
  </si>
  <si>
    <t>dec.d1-hpsnr</t>
    <phoneticPr fontId="5" type="noConversion"/>
  </si>
  <si>
    <t>range.AVSC4 losslG,losslA,intra.ford_03</t>
    <phoneticPr fontId="5" type="noConversion"/>
  </si>
  <si>
    <t>range.AVSC4 losslG,losslA,intra.ford_02</t>
    <phoneticPr fontId="5" type="noConversion"/>
  </si>
  <si>
    <t>range.AVSC4 losslG,losslA,intra.ford_01</t>
    <phoneticPr fontId="5" type="noConversion"/>
  </si>
  <si>
    <t>range.AVSC3 losslG,limit-lossyA,intra.ford_03</t>
    <phoneticPr fontId="5" type="noConversion"/>
  </si>
  <si>
    <t>range.AVSC3 losslG,limit-lossyA,intra.ford_02</t>
    <phoneticPr fontId="5" type="noConversion"/>
  </si>
  <si>
    <t>range.AVSC3 losslG,limit-lossyA,intra.ford_01</t>
    <phoneticPr fontId="5" type="noConversion"/>
  </si>
  <si>
    <t>range.AVSC2 losslG,lossyA,intra.ford_02</t>
    <phoneticPr fontId="5" type="noConversion"/>
  </si>
  <si>
    <t>range.AVSC2 losslG,lossyA,intra.ford_01</t>
    <phoneticPr fontId="5" type="noConversion"/>
  </si>
  <si>
    <t>col.AVSC4 losslG,losslA,intra.eqn.ab.delta-geom_total_bits_ratio</t>
    <phoneticPr fontId="5" type="noConversion"/>
  </si>
  <si>
    <t>col.AVSC4 losslG,losslA,intra.eqn.ab.mean-delta-geom_total_bits_ratio</t>
    <phoneticPr fontId="5" type="noConversion"/>
  </si>
  <si>
    <t>col.AVSC3 losslG,limit-lossyA,intra.eqn.ab.delta-geom_total_bits_ratio</t>
    <phoneticPr fontId="5" type="noConversion"/>
  </si>
  <si>
    <t>col.AVSC3 losslG,limit-lossyA,intra.eqn.ab.mean-delta-geom_total_bits_ratio</t>
    <phoneticPr fontId="5" type="noConversion"/>
  </si>
  <si>
    <t>cols.AVSC2 losslG,lossyA,ra</t>
  </si>
  <si>
    <t>cols.AVSC3 losslG,limit-lossyA,ra</t>
  </si>
  <si>
    <t>cols.AVSC4 losslG,losslA,ra</t>
  </si>
  <si>
    <t>col.AVSC1 limit-lossyG,lossyA,ra.class</t>
  </si>
  <si>
    <t>col.AVSC1 limit-lossyG,lossyA,ra.sequence</t>
  </si>
  <si>
    <t>col.AVSC1 limit-lossyG,lossyA,ra.variant</t>
  </si>
  <si>
    <t>col.AVSC1 limit-lossyG,lossyA,ra.src.numpoints</t>
  </si>
  <si>
    <t>col.AVSC1 limit-lossyG,lossyA,ra.src.geometry-precision</t>
  </si>
  <si>
    <t>col.AVSC1 limit-lossyG,lossyA,ra.src.framecount</t>
  </si>
  <si>
    <t>col.AVSC1 limit-lossyG,lossyA,ra.src.framerate</t>
  </si>
  <si>
    <t>col.AVSC1 limit-lossyG,lossyA,ra.A.eqn.bitrate</t>
  </si>
  <si>
    <t>col.AVSC1 limit-lossyG,lossyA,ra.A.eqn.bpp</t>
  </si>
  <si>
    <t>col.AVSC1 limit-lossyG,lossyA,ra.A.eqn.bpp.geometry</t>
  </si>
  <si>
    <t>col.AVSC1 limit-lossyG,lossyA,ra.A.eqn.bpp.colour</t>
  </si>
  <si>
    <t>col.AVSC1 limit-lossyG,lossyA,ra.A.eqn.bpp.reflectance</t>
  </si>
  <si>
    <t>col.AVSC1 limit-lossyG,lossyA,ra.A.eqn.bpop</t>
  </si>
  <si>
    <t>col.AVSC1 limit-lossyG,lossyA,ra.A.dec.numpoints</t>
  </si>
  <si>
    <t>col.AVSC1 limit-lossyG,lossyA,ra.A.enc.ext.bits</t>
  </si>
  <si>
    <t>col.AVSC1 limit-lossyG,lossyA,ra.A.enc.bits.geometry</t>
  </si>
  <si>
    <t>col.AVSC1 limit-lossyG,lossyA,ra.A.enc.bits.colour</t>
  </si>
  <si>
    <t>col.AVSC1 limit-lossyG,lossyA,ra.A.enc.bits.reflectance</t>
  </si>
  <si>
    <t>col.AVSC1 limit-lossyG,lossyA,ra.A.dec.y-psnr</t>
  </si>
  <si>
    <t>col.AVSC1 limit-lossyG,lossyA,ra.A.dec.cb-psnr</t>
  </si>
  <si>
    <t>col.AVSC1 limit-lossyG,lossyA,ra.A.dec.cr-psnr</t>
  </si>
  <si>
    <t>col.AVSC1 limit-lossyG,lossyA,ra.A.dec.reflectance-psnr</t>
  </si>
  <si>
    <t>col.AVSC1 limit-lossyG,lossyA,ra.A.enc.utime</t>
  </si>
  <si>
    <t>col.AVSC1 limit-lossyG,lossyA,ra.A.dec.utime</t>
  </si>
  <si>
    <t>col.AVSC1 limit-lossyG,lossyA,ra.A.enc.ext.maxrssk</t>
  </si>
  <si>
    <t>col.AVSC1 limit-lossyG,lossyA,ra.A.dec.ext.maxrssk</t>
  </si>
  <si>
    <t>col.AVSC1 limit-lossyG,lossyA,ra.B.eqn.bitrate</t>
  </si>
  <si>
    <t>col.AVSC1 limit-lossyG,lossyA,ra.B.eqn.bpp</t>
  </si>
  <si>
    <t>col.AVSC1 limit-lossyG,lossyA,ra.B.eqn.bpp.geometry</t>
  </si>
  <si>
    <t>col.AVSC1 limit-lossyG,lossyA,ra.B.eqn.bpp.colour</t>
  </si>
  <si>
    <t>col.AVSC1 limit-lossyG,lossyA,ra.B.eqn.bpp.reflectance</t>
  </si>
  <si>
    <t>col.AVSC1 limit-lossyG,lossyA,ra.B.eqn.bpop</t>
  </si>
  <si>
    <t>col.AVSC1 limit-lossyG,lossyA,ra.B.dec.numpoints</t>
  </si>
  <si>
    <t>col.AVSC1 limit-lossyG,lossyA,ra.B.enc.ext.bits</t>
  </si>
  <si>
    <t>col.AVSC1 limit-lossyG,lossyA,ra.B.enc.bits.geometry</t>
  </si>
  <si>
    <t>col.AVSC1 limit-lossyG,lossyA,ra.B.enc.bits.colour</t>
  </si>
  <si>
    <t>col.AVSC1 limit-lossyG,lossyA,ra.B.enc.bits.reflectance</t>
  </si>
  <si>
    <t>col.AVSC1 limit-lossyG,lossyA,ra.B.dec.y-psnr</t>
  </si>
  <si>
    <t>col.AVSC1 limit-lossyG,lossyA,ra.B.dec.cb-psnr</t>
  </si>
  <si>
    <t>col.AVSC1 limit-lossyG,lossyA,ra.B.dec.cr-psnr</t>
  </si>
  <si>
    <t>col.AVSC1 limit-lossyG,lossyA,ra.B.dec.reflectance-psnr</t>
  </si>
  <si>
    <t>col.AVSC1 limit-lossyG,lossyA,ra.B.enc.utime</t>
  </si>
  <si>
    <t>col.AVSC1 limit-lossyG,lossyA,ra.B.dec.utime</t>
  </si>
  <si>
    <t>col.AVSC1 limit-lossyG,lossyA,ra.B.enc.ext.maxrssk</t>
  </si>
  <si>
    <t>col.AVSC1 limit-lossyG,lossyA,ra.B.dec.ext.maxrssk</t>
  </si>
  <si>
    <t>col.AVSC1 limit-lossyG,lossyA,ra.eqn.ab.ratio-enc-maxrssk</t>
  </si>
  <si>
    <t>col.AVSC1 limit-lossyG,lossyA,ra.eqn.ab.ratio-dec-maxrssk</t>
  </si>
  <si>
    <t>col.AVSC1 limit-lossyG,lossyA,ra.eqn.ab.delta-geom_total_bits_ratio</t>
  </si>
  <si>
    <t>col.AVSC1 limit-lossyG,lossyA,ra.eqn.ab.mean-delta-geom_totle_bits_ratio</t>
  </si>
  <si>
    <t>col.AVSC1 limit-lossyG,lossyA,ra.eqn.ab.bdrate-d1-geomrate</t>
  </si>
  <si>
    <t>col.AVSC1 limit-lossyG,lossyA,ra.eqn.ab.bdrate-y-attrrate</t>
  </si>
  <si>
    <t>col.AVSC1 limit-lossyG,lossyA,ra.eqn.ab.bdrate-cb-attrrate</t>
  </si>
  <si>
    <t>col.AVSC1 limit-lossyG,lossyA,ra.eqn.ab.bdrate-cr-attrrate</t>
  </si>
  <si>
    <t>col.AVSC1 limit-lossyG,lossyA,ra.eqn.ab.bdrate-reflectance-attrrate</t>
  </si>
  <si>
    <t>col.AVSC1 limit-lossyG,lossyA,ra.eqn.ab.bdrate-d1</t>
  </si>
  <si>
    <t>col.AVSC1 limit-lossyG,lossyA,ra.eqn.ab.bdrate-y</t>
  </si>
  <si>
    <t>col.AVSC1 limit-lossyG,lossyA,ra.eqn.ab.bdrate-cb</t>
  </si>
  <si>
    <t>col.AVSC1 limit-lossyG,lossyA,ra.eqn.ab.bdrate-cr</t>
  </si>
  <si>
    <t>col.AVSC1 limit-lossyG,lossyA,ra.eqn.ab.bdrate-reflectance</t>
  </si>
  <si>
    <t>col.AVSC2 losslG,lossyA,ra.class</t>
  </si>
  <si>
    <t>col.AVSC2 losslG,lossyA,ra.sequence</t>
  </si>
  <si>
    <t>col.AVSC2 losslG,lossyA,ra.variant</t>
  </si>
  <si>
    <t>col.AVSC2 losslG,lossyA,ra.src.numpoints</t>
  </si>
  <si>
    <t>col.AVSC2 losslG,lossyA,ra.src.geometry-precision</t>
  </si>
  <si>
    <t>col.AVSC2 losslG,lossyA,ra.src.framecount</t>
  </si>
  <si>
    <t>col.AVSC2 losslG,lossyA,ra.src.framerate</t>
  </si>
  <si>
    <t>col.AVSC2 losslG,lossyA,ra.A.eqn.bitrate</t>
  </si>
  <si>
    <t>col.AVSC2 losslG,lossyA,ra.A.eqn.bpp</t>
  </si>
  <si>
    <t>col.AVSC2 losslG,lossyA,ra.A.eqn.bpp.geometry</t>
  </si>
  <si>
    <t>col.AVSC2 losslG,lossyA,ra.A.eqn.bpp.colour</t>
  </si>
  <si>
    <t>col.AVSC2 losslG,lossyA,ra.A.eqn.bpp.reflectance</t>
  </si>
  <si>
    <t>col.AVSC2 losslG,lossyA,ra.A.eqn.bpop</t>
  </si>
  <si>
    <t>col.AVSC2 losslG,lossyA,ra.A.dec.numpoints</t>
  </si>
  <si>
    <t>col.AVSC2 losslG,lossyA,ra.A.enc.ext.bits</t>
  </si>
  <si>
    <t>col.AVSC2 losslG,lossyA,ra.A.enc.bits.geometry</t>
  </si>
  <si>
    <t>col.AVSC2 losslG,lossyA,ra.A.enc.bits.colour</t>
  </si>
  <si>
    <t>col.AVSC2 losslG,lossyA,ra.A.enc.bits.reflectance</t>
  </si>
  <si>
    <t>col.AVSC2 losslG,lossyA,ra.A.dec.y-psnr</t>
  </si>
  <si>
    <t>col.AVSC2 losslG,lossyA,ra.A.dec.cb-psnr</t>
  </si>
  <si>
    <t>col.AVSC2 losslG,lossyA,ra.A.dec.cr-psnr</t>
  </si>
  <si>
    <t>col.AVSC2 losslG,lossyA,ra.A.dec.reflectance-psnr</t>
  </si>
  <si>
    <t>col.AVSC2 losslG,lossyA,ra.A.enc.utime</t>
  </si>
  <si>
    <t>col.AVSC2 losslG,lossyA,ra.A.dec.utime</t>
  </si>
  <si>
    <t>col.AVSC2 losslG,lossyA,ra.A.enc.ext.maxrssk</t>
  </si>
  <si>
    <t>col.AVSC2 losslG,lossyA,ra.A.dec.ext.maxrssk</t>
  </si>
  <si>
    <t>col.AVSC2 losslG,lossyA,ra.A.dec.enc.match</t>
  </si>
  <si>
    <t>col.AVSC2 losslG,lossyA,ra.B.eqn.bitrate</t>
  </si>
  <si>
    <t>col.AVSC2 losslG,lossyA,ra.B.eqn.bpp</t>
  </si>
  <si>
    <t>col.AVSC2 losslG,lossyA,ra.B.eqn.bpp.geometry</t>
  </si>
  <si>
    <t>col.AVSC2 losslG,lossyA,ra.B.eqn.bpp.colour</t>
  </si>
  <si>
    <t>col.AVSC2 losslG,lossyA,ra.B.eqn.bpp.reflectance</t>
  </si>
  <si>
    <t>col.AVSC2 losslG,lossyA,ra.B.eqn.bpop</t>
  </si>
  <si>
    <t>col.AVSC2 losslG,lossyA,ra.B.dec.numpoints</t>
  </si>
  <si>
    <t>col.AVSC2 losslG,lossyA,ra.B.enc.ext.bits</t>
  </si>
  <si>
    <t>col.AVSC2 losslG,lossyA,ra.B.enc.bits.geometry</t>
  </si>
  <si>
    <t>col.AVSC2 losslG,lossyA,ra.B.enc.bits.colour</t>
  </si>
  <si>
    <t>col.AVSC2 losslG,lossyA,ra.B.enc.bits.reflectance</t>
  </si>
  <si>
    <t>col.AVSC2 losslG,lossyA,ra.B.dec.y-psnr</t>
  </si>
  <si>
    <t>col.AVSC2 losslG,lossyA,ra.B.dec.cb-psnr</t>
  </si>
  <si>
    <t>col.AVSC2 losslG,lossyA,ra.B.dec.cr-psnr</t>
  </si>
  <si>
    <t>col.AVSC2 losslG,lossyA,ra.B.dec.reflectance-psnr</t>
  </si>
  <si>
    <t>col.AVSC2 losslG,lossyA,ra.B.enc.utime</t>
  </si>
  <si>
    <t>col.AVSC2 losslG,lossyA,ra.B.dec.utime</t>
  </si>
  <si>
    <t>col.AVSC2 losslG,lossyA,ra.B.enc.ext.maxrssk</t>
  </si>
  <si>
    <t>col.AVSC2 losslG,lossyA,ra.B.dec.ext.maxrssk</t>
  </si>
  <si>
    <t>col.AVSC2 losslG,lossyA,ra.B.dec.enc.match</t>
  </si>
  <si>
    <t>col.AVSC2 losslG,lossyA,ra.eqn.ab.ratio-enc-maxrssk</t>
  </si>
  <si>
    <t>col.AVSC2 losslG,lossyA,ra.eqn.ab.ratio-dec-maxrssk</t>
  </si>
  <si>
    <t>col.AVSC2 losslG,lossyA,ra.eqn.ab.delta-geom_total_bits_ratio</t>
  </si>
  <si>
    <t>col.AVSC2 losslG,lossyA,ra.eqn.ab.mean-delta-geom_total_bits_ratio</t>
  </si>
  <si>
    <t>col.AVSC2 losslG,lossyA,ra.eqn.ab.bdrate-y-attrrate</t>
  </si>
  <si>
    <t>col.AVSC2 losslG,lossyA,ra.eqn.ab.bdrate-cb-attrrate</t>
  </si>
  <si>
    <t>col.AVSC2 losslG,lossyA,ra.eqn.ab.bdrate-cr-attrrate</t>
  </si>
  <si>
    <t>col.AVSC2 losslG,lossyA,ra.eqn.ab.bdrate-reflectance-attrrate</t>
  </si>
  <si>
    <t>col.AVSC2 losslG,lossyA,ra.eqn.ab.bdrate-y</t>
  </si>
  <si>
    <t>col.AVSC2 losslG,lossyA,ra.eqn.ab.bdrate-cb</t>
  </si>
  <si>
    <t>col.AVSC2 losslG,lossyA,ra.eqn.ab.bdrate-cr</t>
  </si>
  <si>
    <t>col.AVSC2 losslG,lossyA,ra.eqn.ab.bdrate-reflectance</t>
  </si>
  <si>
    <t>name.A.AVSC2 losslG,lossyA,ra</t>
  </si>
  <si>
    <t>name.B.AVSC2 losslG,lossyA,ra</t>
  </si>
  <si>
    <t>range.AVSC2 losslG,lossyA,ra.ford_01</t>
  </si>
  <si>
    <t>range.AVSC2 losslG,lossyA,ra.ford_02</t>
  </si>
  <si>
    <t>range.AVSC2 losslG,lossyA,ra.ford_03</t>
  </si>
  <si>
    <t>col.AVSC3 losslG,limit-lossyA,ra.class</t>
  </si>
  <si>
    <t>col.AVSC3 losslG,limit-lossyA,ra.sequence</t>
  </si>
  <si>
    <t>col.AVSC3 losslG,limit-lossyA,ra.variant</t>
  </si>
  <si>
    <t>col.AVSC3 losslG,limit-lossyA,ra.src.numpoints</t>
  </si>
  <si>
    <t>col.AVSC3 losslG,limit-lossyA,ra.src.geometry-precision</t>
  </si>
  <si>
    <t>col.AVSC3 losslG,limit-lossyA,ra.src.framecount</t>
  </si>
  <si>
    <t>col.AVSC3 losslG,limit-lossyA,ra.src.framerate</t>
  </si>
  <si>
    <t>col.AVSC3 losslG,limit-lossyA,ra.A.eqn.bitrate</t>
  </si>
  <si>
    <t>col.AVSC3 losslG,limit-lossyA,ra.A.eqn.bpp</t>
  </si>
  <si>
    <t>col.AVSC3 losslG,limit-lossyA,ra.A.eqn.bpp.geometry</t>
  </si>
  <si>
    <t>col.AVSC3 losslG,limit-lossyA,ra.A.eqn.bpp.colour</t>
  </si>
  <si>
    <t>col.AVSC3 losslG,limit-lossyA,ra.A.eqn.bpp.reflectance</t>
  </si>
  <si>
    <t>col.AVSC3 losslG,limit-lossyA,ra.A.eqn.bpop</t>
  </si>
  <si>
    <t>col.AVSC3 losslG,limit-lossyA,ra.A.dec.numpoints</t>
  </si>
  <si>
    <t>col.AVSC3 losslG,limit-lossyA,ra.A.enc.ext.bits</t>
  </si>
  <si>
    <t>col.AVSC3 losslG,limit-lossyA,ra.A.enc.bits.geometry</t>
  </si>
  <si>
    <t>col.AVSC3 losslG,limit-lossyA,ra.A.enc.bits.colour</t>
  </si>
  <si>
    <t>col.AVSC3 losslG,limit-lossyA,ra.A.enc.bits.reflectance</t>
  </si>
  <si>
    <t>col.AVSC3 losslG,limit-lossyA,ra.A.dec.y-psnr</t>
  </si>
  <si>
    <t>col.AVSC3 losslG,limit-lossyA,ra.A.dec.cb-psnr</t>
  </si>
  <si>
    <t>col.AVSC3 losslG,limit-lossyA,ra.A.dec.cr-psnr</t>
  </si>
  <si>
    <t>col.AVSC3 losslG,limit-lossyA,ra.A.dec.reflectance-psnr</t>
  </si>
  <si>
    <t>col.AVSC3 losslG,limit-lossyA,ra.A.dec.y-hpsnr</t>
  </si>
  <si>
    <t>col.AVSC3 losslG,limit-lossyA,ra.A.dec.cb-hpsnr</t>
  </si>
  <si>
    <t>col.AVSC3 losslG,limit-lossyA,ra.A.dec.cr-hpsnr</t>
  </si>
  <si>
    <t>col.AVSC3 losslG,limit-lossyA,ra.A.dec.reflectance-hpsnr</t>
  </si>
  <si>
    <t>col.AVSC3 losslG,limit-lossyA,ra.A.enc.utime</t>
  </si>
  <si>
    <t>col.AVSC3 losslG,limit-lossyA,ra.A.dec.utime</t>
  </si>
  <si>
    <t>col.AVSC3 losslG,limit-lossyA,ra.A.enc.ext.maxrssk</t>
  </si>
  <si>
    <t>col.AVSC3 losslG,limit-lossyA,ra.A.dec.ext.maxrssk</t>
  </si>
  <si>
    <t>col.AVSC3 losslG,limit-lossyA,ra.A.dec.enc.match</t>
  </si>
  <si>
    <t>col.AVSC3 losslG,limit-lossyA,ra.B.eqn.bitrate</t>
  </si>
  <si>
    <t>col.AVSC3 losslG,limit-lossyA,ra.B.eqn.bpp</t>
  </si>
  <si>
    <t>col.AVSC3 losslG,limit-lossyA,ra.B.eqn.bpp.geometry</t>
  </si>
  <si>
    <t>col.AVSC3 losslG,limit-lossyA,ra.B.eqn.bpp.colour</t>
  </si>
  <si>
    <t>col.AVSC3 losslG,limit-lossyA,ra.B.eqn.bpp.reflectance</t>
  </si>
  <si>
    <t>col.AVSC3 losslG,limit-lossyA,ra.B.eqn.bpop</t>
  </si>
  <si>
    <t>col.AVSC3 losslG,limit-lossyA,ra.B.dec.numpoints</t>
  </si>
  <si>
    <t>col.AVSC3 losslG,limit-lossyA,ra.B.enc.ext.bits</t>
  </si>
  <si>
    <t>col.AVSC3 losslG,limit-lossyA,ra.B.enc.bits.geometry</t>
  </si>
  <si>
    <t>col.AVSC3 losslG,limit-lossyA,ra.B.enc.bits.colour</t>
  </si>
  <si>
    <t>col.AVSC3 losslG,limit-lossyA,ra.B.enc.bits.reflectance</t>
  </si>
  <si>
    <t>col.AVSC3 losslG,limit-lossyA,ra.B.dec.y-psnr</t>
  </si>
  <si>
    <t>col.AVSC3 losslG,limit-lossyA,ra.B.dec.cb-psnr</t>
  </si>
  <si>
    <t>col.AVSC3 losslG,limit-lossyA,ra.B.dec.cr-psnr</t>
  </si>
  <si>
    <t>col.AVSC3 losslG,limit-lossyA,ra.B.dec.reflectance-psnr</t>
  </si>
  <si>
    <t>col.AVSC3 losslG,limit-lossyA,ra.B.dec.y-hpsnr</t>
  </si>
  <si>
    <t>col.AVSC3 losslG,limit-lossyA,ra.B.dec.cb-hpsnr</t>
  </si>
  <si>
    <t>col.AVSC3 losslG,limit-lossyA,ra.B.dec.cr-hpsnr</t>
  </si>
  <si>
    <t>col.AVSC3 losslG,limit-lossyA,ra.B.dec.reflectance-hpsnr</t>
  </si>
  <si>
    <t>col.AVSC3 losslG,limit-lossyA,ra.B.enc.utime</t>
  </si>
  <si>
    <t>col.AVSC3 losslG,limit-lossyA,ra.B.dec.utime</t>
  </si>
  <si>
    <t>col.AVSC3 losslG,limit-lossyA,ra.B.enc.ext.maxrssk</t>
  </si>
  <si>
    <t>col.AVSC3 losslG,limit-lossyA,ra.B.dec.ext.maxrssk</t>
  </si>
  <si>
    <t>col.AVSC3 losslG,limit-lossyA,ra.B.dec.enc.match</t>
  </si>
  <si>
    <t>col.AVSC3 losslG,limit-lossyA,ra.eqn.ab.ratio-enc-maxrssk</t>
  </si>
  <si>
    <t>col.AVSC3 losslG,limit-lossyA,ra.eqn.ab.ratio-dec-maxrssk</t>
  </si>
  <si>
    <t>col.AVSC3 losslG,limit-lossyA,ra.eqn.ab.delta-geom_total_bits_ratio</t>
  </si>
  <si>
    <t>col.AVSC3 losslG,limit-lossyA,ra.eqn.ab.mean-delta-geom_total_bits_ratio</t>
  </si>
  <si>
    <t>col.AVSC3 losslG,limit-lossyA,ra.eqn.ab.bdrate-y-attrrate</t>
  </si>
  <si>
    <t>col.AVSC3 losslG,limit-lossyA,ra.eqn.ab.bdrate-cb-attrrate</t>
  </si>
  <si>
    <t>col.AVSC3 losslG,limit-lossyA,ra.eqn.ab.bdrate-cr-attrrate</t>
  </si>
  <si>
    <t>col.AVSC3 losslG,limit-lossyA,ra.eqn.ab.bdrate-reflectance-attrrate</t>
  </si>
  <si>
    <t>col.AVSC3 losslG,limit-lossyA,ra.eqn.ab.bdrate-hy-attrrate</t>
  </si>
  <si>
    <t>col.AVSC3 losslG,limit-lossyA,ra.eqn.ab.bdrate-hcb-attrrate</t>
  </si>
  <si>
    <t>col.AVSC3 losslG,limit-lossyA,ra.eqn.ab.bdrate-hcr-attrrate</t>
  </si>
  <si>
    <t>col.AVSC3 losslG,limit-lossyA,ra.eqn.ab.bdrate-hreflectance-attrrate</t>
  </si>
  <si>
    <t>col.AVSC3 losslG,limit-lossyA,ra.eqn.ab.bdrate-y</t>
  </si>
  <si>
    <t>col.AVSC3 losslG,limit-lossyA,ra.eqn.ab.bdrate-cb</t>
  </si>
  <si>
    <t>col.AVSC3 losslG,limit-lossyA,ra.eqn.ab.bdrate-cr</t>
  </si>
  <si>
    <t>col.AVSC3 losslG,limit-lossyA,ra.eqn.ab.bdrate-reflectance</t>
  </si>
  <si>
    <t>col.AVSC3 losslG,limit-lossyA,ra.eqn.ab.bdrate-hy</t>
  </si>
  <si>
    <t>col.AVSC3 losslG,limit-lossyA,ra.eqn.ab.bdrate-hcb</t>
  </si>
  <si>
    <t>col.AVSC3 losslG,limit-lossyA,ra.eqn.ab.bdrate-hcr</t>
  </si>
  <si>
    <t>col.AVSC3 losslG,limit-lossyA,ra.eqn.ab.bdrate-hreflectance</t>
  </si>
  <si>
    <t>name.A.AVSC3 losslG,limit-lossyA,ra</t>
  </si>
  <si>
    <t>name.B.AVSC3 losslG,limit-lossyA,ra</t>
  </si>
  <si>
    <t>range.AVSC3 losslG,limit-lossyA,ra.ford_01</t>
  </si>
  <si>
    <t>range.AVSC3 losslG,limit-lossyA,ra.ford_02</t>
  </si>
  <si>
    <t>range.AVSC3 losslG,limit-lossyA,ra.ford_03</t>
  </si>
  <si>
    <t>col.AVSC4 losslG,losslA,ra.class</t>
  </si>
  <si>
    <t>col.AVSC4 losslG,losslA,ra.sequence</t>
  </si>
  <si>
    <t>col.AVSC4 losslG,losslA,ra.src.numpoints</t>
  </si>
  <si>
    <t>col.AVSC4 losslG,losslA,ra.src.geometry-precision</t>
  </si>
  <si>
    <t>col.AVSC4 losslG,losslA,ra.src.framecount</t>
  </si>
  <si>
    <t>col.AVSC4 losslG,losslA,ra.src.framerate</t>
  </si>
  <si>
    <t>col.AVSC4 losslG,losslA,ra.A.eqn.bitrate</t>
  </si>
  <si>
    <t>col.AVSC4 losslG,losslA,ra.A.eqn.bpp</t>
  </si>
  <si>
    <t>col.AVSC4 losslG,losslA,ra.A.eqn.bpp.geometry</t>
  </si>
  <si>
    <t>col.AVSC4 losslG,losslA,ra.A.eqn.bpp.colour</t>
  </si>
  <si>
    <t>col.AVSC4 losslG,losslA,ra.A.eqn.bpp.reflectance</t>
  </si>
  <si>
    <t>col.AVSC4 losslG,losslA,ra.A.eqn.bpop</t>
  </si>
  <si>
    <t>col.AVSC4 losslG,losslA,ra.A.dec.numpoints</t>
  </si>
  <si>
    <t>col.AVSC4 losslG,losslA,ra.A.enc.ext.bits</t>
  </si>
  <si>
    <t>col.AVSC4 losslG,losslA,ra.A.enc.bits.geometry</t>
  </si>
  <si>
    <t>col.AVSC4 losslG,losslA,ra.A.enc.bits.colour</t>
  </si>
  <si>
    <t>col.AVSC4 losslG,losslA,ra.A.enc.bits.reflectance</t>
  </si>
  <si>
    <t>col.AVSC4 losslG,losslA,ra.A.enc.utime</t>
  </si>
  <si>
    <t>col.AVSC4 losslG,losslA,ra.A.dec.utime</t>
  </si>
  <si>
    <t>col.AVSC4 losslG,losslA,ra.A.enc.ext.maxrssk</t>
  </si>
  <si>
    <t>col.AVSC4 losslG,losslA,ra.A.dec.ext.maxrssk</t>
  </si>
  <si>
    <t>col.AVSC4 losslG,losslA,ra.A.dec.enc.match</t>
  </si>
  <si>
    <t>col.AVSC4 losslG,losslA,ra.B.eqn.bitrate</t>
  </si>
  <si>
    <t>col.AVSC4 losslG,losslA,ra.B.eqn.bpp</t>
  </si>
  <si>
    <t>col.AVSC4 losslG,losslA,ra.B.eqn.bpp.geometry</t>
  </si>
  <si>
    <t>col.AVSC4 losslG,losslA,ra.B.eqn.bpp.colour</t>
  </si>
  <si>
    <t>col.AVSC4 losslG,losslA,ra.B.eqn.bpp.reflectance</t>
  </si>
  <si>
    <t>col.AVSC4 losslG,losslA,ra.B.eqn.bpop</t>
  </si>
  <si>
    <t>col.AVSC4 losslG,losslA,ra.B.dec.numpoints</t>
  </si>
  <si>
    <t>col.AVSC4 losslG,losslA,ra.B.enc.ext.bits</t>
  </si>
  <si>
    <t>col.AVSC4 losslG,losslA,ra.B.enc.bits.geometry</t>
  </si>
  <si>
    <t>col.AVSC4 losslG,losslA,ra.B.enc.bits.colour</t>
  </si>
  <si>
    <t>col.AVSC4 losslG,losslA,ra.B.enc.bits.reflectance</t>
  </si>
  <si>
    <t>col.AVSC4 losslG,losslA,ra.B.enc.utime</t>
  </si>
  <si>
    <t>col.AVSC4 losslG,losslA,ra.B.dec.utime</t>
  </si>
  <si>
    <t>col.AVSC4 losslG,losslA,ra.B.enc.ext.maxrssk</t>
  </si>
  <si>
    <t>col.AVSC4 losslG,losslA,ra.B.dec.ext.maxrssk</t>
  </si>
  <si>
    <t>col.AVSC4 losslG,losslA,ra.B.dec.enc.match</t>
  </si>
  <si>
    <t>col.AVSC4 losslG,losslA,ra.eqn.ab.ratio-bpp</t>
  </si>
  <si>
    <t>col.AVSC4 losslG,losslA,ra.eqn.ab.ratio-bpp-geometry</t>
  </si>
  <si>
    <t>col.AVSC4 losslG,losslA,ra.eqn.ab.ratio-bpp-colour</t>
  </si>
  <si>
    <t>col.AVSC4 losslG,losslA,ra.eqn.ab.ratio-bpp-reflectance</t>
  </si>
  <si>
    <t>col.AVSC4 losslG,losslA,ra.eqn.ab.ratio-enc-maxrssk</t>
  </si>
  <si>
    <t>col.AVSC4 losslG,losslA,ra.eqn.ab.ratio-dec-maxrssk</t>
  </si>
  <si>
    <t>col.AVSC4 losslG,losslA,ra.eqn.ab.delta-geom_total_bits_ratio</t>
  </si>
  <si>
    <t>col.AVSC4 losslG,losslA,ra.eqn.ab.mean-delta-geom_total_bits_ratio</t>
  </si>
  <si>
    <t>name.A.AVSC4 losslG,losslA,ra</t>
  </si>
  <si>
    <t>name.B.AVSC4 losslG,losslA,ra</t>
  </si>
  <si>
    <t>range.AVSC4 losslG,losslA,ra.ford_01</t>
  </si>
  <si>
    <t>range.AVSC4 losslG,losslA,ra.ford_02</t>
  </si>
  <si>
    <t>range.AVSC4 losslG,losslA,ra.ford_03</t>
  </si>
  <si>
    <t>all data points</t>
    <phoneticPr fontId="5" type="noConversion"/>
  </si>
  <si>
    <t>range.AVSC2 losslG,lossyA,intra.ford_03</t>
    <phoneticPr fontId="5" type="noConversion"/>
  </si>
  <si>
    <t>range.AVSC2 losslG,lossyA,intra.livox_01_all</t>
    <phoneticPr fontId="5" type="noConversion"/>
  </si>
  <si>
    <t>range.AVSC3 losslG,limit-lossyA,intra.livox_01_all</t>
    <phoneticPr fontId="5" type="noConversion"/>
  </si>
  <si>
    <t>range.AVSC4 losslG,losslA,intra.livox_01_all</t>
    <phoneticPr fontId="5" type="noConversion"/>
  </si>
  <si>
    <t>geo.h-mse</t>
    <phoneticPr fontId="5" type="noConversion"/>
  </si>
  <si>
    <t>range.AVSC2 losslG,lossyA,intra.livox_02_all</t>
    <phoneticPr fontId="5" type="noConversion"/>
  </si>
  <si>
    <t>range.AVSC2 losslG,lossyA,intra.basketball_player_vox11</t>
    <phoneticPr fontId="5" type="noConversion"/>
  </si>
  <si>
    <t>range.AVSC2 losslG,lossyA,intra.dancer_player_vox11</t>
    <phoneticPr fontId="5" type="noConversion"/>
  </si>
  <si>
    <t>range.AVSC2 losslG,lossyA,intra.exercise_vox11</t>
    <phoneticPr fontId="5" type="noConversion"/>
  </si>
  <si>
    <t>range.AVSC2 losslG,lossyA,intra.model_vox11</t>
    <phoneticPr fontId="5" type="noConversion"/>
  </si>
  <si>
    <t>range.AVSC3 losslG,limit-lossyA,intra.livox_02_all</t>
    <phoneticPr fontId="5" type="noConversion"/>
  </si>
  <si>
    <t>range.AVSC3 losslG,limit-lossyA,intra.basketball_player_vox11</t>
    <phoneticPr fontId="5" type="noConversion"/>
  </si>
  <si>
    <t>range.AVSC3 losslG,limit-lossyA,intra.dancer_player_vox11</t>
    <phoneticPr fontId="5" type="noConversion"/>
  </si>
  <si>
    <t>range.AVSC3 losslG,limit-lossyA,intra.exercise_vox11</t>
    <phoneticPr fontId="5" type="noConversion"/>
  </si>
  <si>
    <t>range.AVSC3 losslG,limit-lossyA,intra.model_vox11</t>
    <phoneticPr fontId="5" type="noConversion"/>
  </si>
  <si>
    <t>range.AVSC4 losslG,losslA,intra.livox_02_all</t>
    <phoneticPr fontId="5" type="noConversion"/>
  </si>
  <si>
    <t>range.AVSC4 losslG,losslA,intra.dancer_player_vox11</t>
    <phoneticPr fontId="5" type="noConversion"/>
  </si>
  <si>
    <t>range.AVSC4 losslG,losslA,intra.exercise_vox11</t>
    <phoneticPr fontId="5" type="noConversion"/>
  </si>
  <si>
    <t>range.AVSC4 losslG,losslA,intra.model_vox11</t>
    <phoneticPr fontId="5" type="noConversion"/>
  </si>
  <si>
    <t>User Encoder runtime [s]</t>
    <phoneticPr fontId="5" type="noConversion"/>
  </si>
  <si>
    <t>User Decoder runtime [s]</t>
    <phoneticPr fontId="5" type="noConversion"/>
  </si>
  <si>
    <t>cols.AVSC1 limit-lossyG,lossyA,ra</t>
  </si>
  <si>
    <t>col.AVSC1 limit-lossyG,lossyA,intra.A.dec.ext.maxrssk</t>
  </si>
  <si>
    <t>col.AVSC1 limit-lossyG,lossyA,intra.A.geo.h-mse</t>
  </si>
  <si>
    <t>col.AVSC1 limit-lossyG,lossyA,intra.B.geo.h-mse</t>
  </si>
  <si>
    <t>range.AVSC1 limit-lossyG,lossyA,intra.ford_01</t>
  </si>
  <si>
    <t>range.AVSC1 limit-lossyG,lossyA,intra.ford_02</t>
  </si>
  <si>
    <t>range.AVSC1 limit-lossyG,lossyA,intra.ford_03</t>
  </si>
  <si>
    <t>range.AVSC1 limit-lossyG,lossyA,intra.livox_01_all</t>
  </si>
  <si>
    <t>range.AVSC1 limit-lossyG,lossyA,intra.livox_02_all</t>
  </si>
  <si>
    <t>range.AVSC1 limit-lossyG,lossyA,intra.basketball_player_vox11</t>
  </si>
  <si>
    <t>range.AVSC1 limit-lossyG,lossyA,intra.dancer_player_vox11</t>
  </si>
  <si>
    <t>range.AVSC1 limit-lossyG,lossyA,intra.exercise_vox11</t>
  </si>
  <si>
    <t>range.AVSC1 limit-lossyG,lossyA,intra.model_vox11</t>
  </si>
  <si>
    <t>col.AVSC1 limit-lossyG,lossyA,ra.A.geo.h-mse</t>
  </si>
  <si>
    <t>col.AVSC1 limit-lossyG,lossyA,ra.B.geo.h-mse</t>
  </si>
  <si>
    <t>col.AVSC1 limit-lossyG,lossyA,intra.src.numpoints</t>
    <phoneticPr fontId="5" type="noConversion"/>
  </si>
  <si>
    <t>col.AVSC1 limit-lossyG,lossyA,intra.A.dec.d1-psnr</t>
    <phoneticPr fontId="5" type="noConversion"/>
  </si>
  <si>
    <t>col.AVSC1 limit-lossyG,lossyA,intra.A.dec.d1-hpsnr</t>
    <phoneticPr fontId="5" type="noConversion"/>
  </si>
  <si>
    <t>col.AVSC1 limit-lossyG,lossyA,intra.B.dec.d1-psnr</t>
    <phoneticPr fontId="5" type="noConversion"/>
  </si>
  <si>
    <t>col.AVSC1 limit-lossyG,lossyA,intra.B.dec.d1-hpsnr</t>
    <phoneticPr fontId="5" type="noConversion"/>
  </si>
  <si>
    <t>Note: BD-rate is computed using piece-wise Hermite cubic interpolation</t>
    <phoneticPr fontId="5" type="noConversion"/>
  </si>
  <si>
    <t>dec.d1-psnr</t>
    <phoneticPr fontId="5" type="noConversion"/>
  </si>
  <si>
    <t>dec.d1-hpsnr</t>
    <phoneticPr fontId="5" type="noConversion"/>
  </si>
  <si>
    <t>range.AVSC1 limit-lossyG,lossyA,intra.bridge_1mm</t>
    <phoneticPr fontId="5" type="noConversion"/>
  </si>
  <si>
    <t>range.AVSC1 limit-lossyG,lossyA,intra.double_T_section_1mm</t>
    <phoneticPr fontId="5" type="noConversion"/>
  </si>
  <si>
    <t>range.AVSC1 limit-lossyG,lossyA,intra.intersection1_1mm</t>
    <phoneticPr fontId="5" type="noConversion"/>
  </si>
  <si>
    <t>range.AVSC1 limit-lossyG,lossyA,intra.intersection2_1mm</t>
    <phoneticPr fontId="5" type="noConversion"/>
  </si>
  <si>
    <t>range.AVSC1 limit-lossyG,lossyA,intra.straight_road_1mm</t>
    <phoneticPr fontId="5" type="noConversion"/>
  </si>
  <si>
    <t>range.AVSC1 limit-lossyG,lossyA,intra.T_section_1mm</t>
    <phoneticPr fontId="5" type="noConversion"/>
  </si>
  <si>
    <t>range.AVSC2 losslG,lossyA,intra.bridge_1mm</t>
    <phoneticPr fontId="5" type="noConversion"/>
  </si>
  <si>
    <t>range.AVSC2 losslG,lossyA,intra.double_T_section_1mm</t>
    <phoneticPr fontId="5" type="noConversion"/>
  </si>
  <si>
    <t>range.AVSC2 losslG,lossyA,intra.intersection1_1mm</t>
    <phoneticPr fontId="5" type="noConversion"/>
  </si>
  <si>
    <t>range.AVSC2 losslG,lossyA,intra.intersection2_1mm</t>
    <phoneticPr fontId="5" type="noConversion"/>
  </si>
  <si>
    <t>range.AVSC2 losslG,lossyA,intra.straight_road_1mm</t>
    <phoneticPr fontId="5" type="noConversion"/>
  </si>
  <si>
    <t>range.AVSC2 losslG,lossyA,intra.T_section_1mm</t>
    <phoneticPr fontId="5" type="noConversion"/>
  </si>
  <si>
    <t>range.AVSC3 losslG,limit-lossyA,intra.bridge_1mm</t>
    <phoneticPr fontId="5" type="noConversion"/>
  </si>
  <si>
    <t>range.AVSC3 losslG,limit-lossyA,intra.double_T_section_1mm</t>
    <phoneticPr fontId="5" type="noConversion"/>
  </si>
  <si>
    <t>range.AVSC3 losslG,limit-lossyA,intra.intersection1_1mm</t>
    <phoneticPr fontId="5" type="noConversion"/>
  </si>
  <si>
    <t>range.AVSC3 losslG,limit-lossyA,intra.intersection2_1mm</t>
    <phoneticPr fontId="5" type="noConversion"/>
  </si>
  <si>
    <t>range.AVSC3 losslG,limit-lossyA,intra.straight_road_1mm</t>
    <phoneticPr fontId="5" type="noConversion"/>
  </si>
  <si>
    <t>range.AVSC3 losslG,limit-lossyA,intra.T_section_1mm</t>
    <phoneticPr fontId="5" type="noConversion"/>
  </si>
  <si>
    <t>range.AVSC4 losslG,losslA,intra.bridge_1mm</t>
    <phoneticPr fontId="5" type="noConversion"/>
  </si>
  <si>
    <t>range.AVSC4 losslG,losslA,intra.double_T_section_1mm</t>
    <phoneticPr fontId="5" type="noConversion"/>
  </si>
  <si>
    <t>range.AVSC4 losslG,losslA,intra.intersection1_1mm</t>
    <phoneticPr fontId="5" type="noConversion"/>
  </si>
  <si>
    <t>range.AVSC4 losslG,losslA,intra.intersection2_1mm</t>
    <phoneticPr fontId="5" type="noConversion"/>
  </si>
  <si>
    <t>range.AVSC4 losslG,losslA,intra.straight_road_1mm</t>
    <phoneticPr fontId="5" type="noConversion"/>
  </si>
  <si>
    <t>range.AVSC4 losslG,losslA,intra.T_section_1mm</t>
    <phoneticPr fontId="5" type="noConversion"/>
  </si>
  <si>
    <t>Average</t>
  </si>
  <si>
    <t>range.AVSC1 limit-lossyG,lossyA,intra.stanford_area_2_vox20</t>
    <phoneticPr fontId="5" type="noConversion"/>
  </si>
  <si>
    <t>range.AVSC1 limit-lossyG,lossyA,intra.Church_vox16</t>
    <phoneticPr fontId="5" type="noConversion"/>
  </si>
  <si>
    <t>range.AVSC1 limit-lossyG,lossyA,intra.stanford_area_4_vox20</t>
    <phoneticPr fontId="5" type="noConversion"/>
  </si>
  <si>
    <t>range.AVSC1 limit-lossyG,lossyA,intra.Courthouse_vox16</t>
    <phoneticPr fontId="5" type="noConversion"/>
  </si>
  <si>
    <t>range.AVSC1 limit-lossyG,lossyA,intra.Ignatius_vox11</t>
    <phoneticPr fontId="5" type="noConversion"/>
  </si>
  <si>
    <t>range.AVSC1 limit-lossyG,lossyA,intra.QQdog_vox15</t>
    <phoneticPr fontId="5" type="noConversion"/>
  </si>
  <si>
    <t>range.AVSC1 limit-lossyG,lossyA,intra.Truck_vox15</t>
    <phoneticPr fontId="5" type="noConversion"/>
  </si>
  <si>
    <t>range.AVSC2 losslG,lossyA,intra.stanford_area_2_vox20</t>
    <phoneticPr fontId="5" type="noConversion"/>
  </si>
  <si>
    <t>range.AVSC2 losslG,lossyA,intra.stanford_area_4_vox20</t>
    <phoneticPr fontId="5" type="noConversion"/>
  </si>
  <si>
    <t>range.AVSC2 losslG,lossyA,intra.Church_vox16</t>
    <phoneticPr fontId="5" type="noConversion"/>
  </si>
  <si>
    <t>range.AVSC2 losslG,lossyA,intra.Courthouse_vox16</t>
    <phoneticPr fontId="5" type="noConversion"/>
  </si>
  <si>
    <t>range.AVSC2 losslG,lossyA,intra.Ignatius_vox11</t>
    <phoneticPr fontId="5" type="noConversion"/>
  </si>
  <si>
    <t>range.AVSC2 losslG,lossyA,intra.QQdog_vox15</t>
    <phoneticPr fontId="5" type="noConversion"/>
  </si>
  <si>
    <t>range.AVSC2 losslG,lossyA,intra.Truck_vox15</t>
    <phoneticPr fontId="5" type="noConversion"/>
  </si>
  <si>
    <t>range.AVSC3 losslG,limit-lossyA,intra.stanford_area_2_vox20</t>
    <phoneticPr fontId="5" type="noConversion"/>
  </si>
  <si>
    <t>range.AVSC3 losslG,limit-lossyA,intra.stanford_area_4_vox20</t>
    <phoneticPr fontId="5" type="noConversion"/>
  </si>
  <si>
    <t>range.AVSC3 losslG,limit-lossyA,intra.Church_vox16</t>
    <phoneticPr fontId="5" type="noConversion"/>
  </si>
  <si>
    <t>range.AVSC3 losslG,limit-lossyA,intra.Courthouse_vox16</t>
    <phoneticPr fontId="5" type="noConversion"/>
  </si>
  <si>
    <t>range.AVSC3 losslG,limit-lossyA,intra.Ignatius_vox11</t>
    <phoneticPr fontId="5" type="noConversion"/>
  </si>
  <si>
    <t>range.AVSC3 losslG,limit-lossyA,intra.QQdog_vox15</t>
    <phoneticPr fontId="5" type="noConversion"/>
  </si>
  <si>
    <t>range.AVSC3 losslG,limit-lossyA,intra.Truck_vox15</t>
    <phoneticPr fontId="5" type="noConversion"/>
  </si>
  <si>
    <t>range.AVSC4 losslG,losslA,intra.stanford_area_2_vox20</t>
    <phoneticPr fontId="5" type="noConversion"/>
  </si>
  <si>
    <t>range.AVSC4 losslG,losslA,intra.stanford_area_4_vox20</t>
    <phoneticPr fontId="5" type="noConversion"/>
  </si>
  <si>
    <t>range.AVSC4 losslG,losslA,intra.Church_vox16</t>
    <phoneticPr fontId="5" type="noConversion"/>
  </si>
  <si>
    <t>range.AVSC4 losslG,losslA,intra.Courthouse_vox16</t>
    <phoneticPr fontId="5" type="noConversion"/>
  </si>
  <si>
    <t>range.AVSC4 losslG,losslA,intra.Ignatius_vox11</t>
    <phoneticPr fontId="5" type="noConversion"/>
  </si>
  <si>
    <t>range.AVSC4 losslG,losslA,intra.QQdog_vox15</t>
    <phoneticPr fontId="5" type="noConversion"/>
  </si>
  <si>
    <t>range.AVSC4 losslG,losslA,intra.Truck_vox15</t>
    <phoneticPr fontId="5" type="noConversion"/>
  </si>
  <si>
    <t>range.AVSC1 limit-lossyG,lossyA,ra.stanford_area_2_vox20</t>
  </si>
  <si>
    <t>range.AVSC1 limit-lossyG,lossyA,ra.stanford_area_4_vox20</t>
  </si>
  <si>
    <t>range.AVSC1 limit-lossyG,lossyA,ra.Church_vox16</t>
  </si>
  <si>
    <t>range.AVSC1 limit-lossyG,lossyA,ra.Courthouse_vox16</t>
  </si>
  <si>
    <t>range.AVSC1 limit-lossyG,lossyA,ra.Ignatius_vox11</t>
  </si>
  <si>
    <t>range.AVSC1 limit-lossyG,lossyA,ra.QQdog_vox15</t>
  </si>
  <si>
    <t>range.AVSC1 limit-lossyG,lossyA,ra.Truck_vox15</t>
  </si>
  <si>
    <t>range.AVSC1 limit-lossyG,lossyA,ra.ford_01</t>
  </si>
  <si>
    <t>range.AVSC1 limit-lossyG,lossyA,ra.ford_02</t>
  </si>
  <si>
    <t>range.AVSC1 limit-lossyG,lossyA,ra.ford_03</t>
  </si>
  <si>
    <t>range.AVSC1 limit-lossyG,lossyA,ra.livox_01_all</t>
  </si>
  <si>
    <t>range.AVSC1 limit-lossyG,lossyA,ra.livox_02_all</t>
  </si>
  <si>
    <t>range.AVSC1 limit-lossyG,lossyA,ra.basketball_player_vox11</t>
  </si>
  <si>
    <t>range.AVSC1 limit-lossyG,lossyA,ra.dancer_player_vox11</t>
  </si>
  <si>
    <t>range.AVSC1 limit-lossyG,lossyA,ra.exercise_vox11</t>
  </si>
  <si>
    <t>range.AVSC1 limit-lossyG,lossyA,ra.model_vox11</t>
  </si>
  <si>
    <t>range.AVSC4 losslG,losslA,ra.stanford_area_4_vox20</t>
  </si>
  <si>
    <t>range.AVSC4 losslG,losslA,ra.stanford_area_2_vox20</t>
  </si>
  <si>
    <t>range.AVSC4 losslG,losslA,ra.Church_vox16</t>
  </si>
  <si>
    <t>range.AVSC4 losslG,losslA,ra.Courthouse_vox16</t>
  </si>
  <si>
    <t>range.AVSC4 losslG,losslA,ra.Ignatius_vox11</t>
  </si>
  <si>
    <t>range.AVSC4 losslG,losslA,ra.QQdog_vox15</t>
  </si>
  <si>
    <t>range.AVSC4 losslG,losslA,ra.Truck_vox15</t>
  </si>
  <si>
    <t>range.AVSC4 losslG,losslA,ra.livox_01_all</t>
  </si>
  <si>
    <t>range.AVSC4 losslG,losslA,ra.livox_02_all</t>
  </si>
  <si>
    <t>range.AVSC4 losslG,losslA,ra.basketball_player_vox11</t>
  </si>
  <si>
    <t>range.AVSC4 losslG,losslA,ra.dancer_player_vox11</t>
  </si>
  <si>
    <t>range.AVSC4 losslG,losslA,ra.exercise_vox11</t>
  </si>
  <si>
    <t>range.AVSC4 losslG,losslA,ra.model_vox11</t>
  </si>
  <si>
    <t>range.AVSC3 losslG,limit-lossyA,ra.stanford_area_2_vox20</t>
  </si>
  <si>
    <t>range.AVSC3 losslG,limit-lossyA,ra.stanford_area_4_vox20</t>
  </si>
  <si>
    <t>range.AVSC3 losslG,limit-lossyA,ra.Church_vox16</t>
  </si>
  <si>
    <t>range.AVSC3 losslG,limit-lossyA,ra.Courthouse_vox16</t>
  </si>
  <si>
    <t>range.AVSC3 losslG,limit-lossyA,ra.Ignatius_vox11</t>
  </si>
  <si>
    <t>range.AVSC3 losslG,limit-lossyA,ra.QQdog_vox15</t>
  </si>
  <si>
    <t>range.AVSC3 losslG,limit-lossyA,ra.Truck_vox15</t>
  </si>
  <si>
    <t>range.AVSC3 losslG,limit-lossyA,ra.livox_01_all</t>
  </si>
  <si>
    <t>range.AVSC3 losslG,limit-lossyA,ra.livox_02_all</t>
  </si>
  <si>
    <t>range.AVSC3 losslG,limit-lossyA,ra.basketball_player_vox11</t>
  </si>
  <si>
    <t>range.AVSC3 losslG,limit-lossyA,ra.dancer_player_vox11</t>
  </si>
  <si>
    <t>range.AVSC3 losslG,limit-lossyA,ra.exercise_vox11</t>
  </si>
  <si>
    <t>range.AVSC3 losslG,limit-lossyA,ra.model_vox11</t>
  </si>
  <si>
    <t>range.AVSC2 losslG,lossyA,ra.stanford_area_2_vox20</t>
  </si>
  <si>
    <t>range.AVSC2 losslG,lossyA,ra.stanford_area_4_vox20</t>
  </si>
  <si>
    <t>range.AVSC2 losslG,lossyA,ra.Church_vox16</t>
  </si>
  <si>
    <t>range.AVSC2 losslG,lossyA,ra.Courthouse_vox16</t>
  </si>
  <si>
    <t>range.AVSC2 losslG,lossyA,ra.Ignatius_vox11</t>
  </si>
  <si>
    <t>range.AVSC2 losslG,lossyA,ra.QQdog_vox15</t>
  </si>
  <si>
    <t>range.AVSC2 losslG,lossyA,ra.Truck_vox15</t>
  </si>
  <si>
    <t>range.AVSC2 losslG,lossyA,ra.livox_01_all</t>
  </si>
  <si>
    <t>range.AVSC2 losslG,lossyA,ra.livox_02_all</t>
  </si>
  <si>
    <t>range.AVSC2 losslG,lossyA,ra.basketball_player_vox11</t>
  </si>
  <si>
    <t>range.AVSC2 losslG,lossyA,ra.dancer_player_vox11</t>
  </si>
  <si>
    <t>range.AVSC2 losslG,lossyA,ra.exercise_vox11</t>
  </si>
  <si>
    <t>range.AVSC2 losslG,lossyA,ra.model_vox11</t>
  </si>
  <si>
    <t>End-to-End BD‑TotalRate [%]</t>
    <phoneticPr fontId="5" type="noConversion"/>
  </si>
  <si>
    <t>src.attribute-precision</t>
    <phoneticPr fontId="5" type="noConversion"/>
  </si>
  <si>
    <t>col.AVSC1 limit-lossyG,lossyA,intra.src.attribute-precision</t>
    <phoneticPr fontId="5" type="noConversion"/>
  </si>
  <si>
    <t>col.AVSC1 limit-lossyG,lossyA,intra.A.eqn.ratio</t>
    <phoneticPr fontId="5" type="noConversion"/>
  </si>
  <si>
    <t>col.AVSC1 limit-lossyG,lossyA,intra.A.eqn.ratio.geometry</t>
    <phoneticPr fontId="5" type="noConversion"/>
  </si>
  <si>
    <t>col.AVSC1 limit-lossyG,lossyA,intra.A.eqn.ratio.colour</t>
    <phoneticPr fontId="5" type="noConversion"/>
  </si>
  <si>
    <t>col.AVSC1 limit-lossyG,lossyA,intra.A.eqn.ratio.reflectance</t>
    <phoneticPr fontId="5" type="noConversion"/>
  </si>
  <si>
    <t>col.AVSC2 losslG,lossyA,intra.src.attribute-precision</t>
    <phoneticPr fontId="5" type="noConversion"/>
  </si>
  <si>
    <t>col.AVSC1 limit-lossyG,lossyA,intra.B.eqn.ratio.geometry</t>
    <phoneticPr fontId="5" type="noConversion"/>
  </si>
  <si>
    <t>col.AVSC1 limit-lossyG,lossyA,intra.B.eqn.ratio.colour</t>
    <phoneticPr fontId="5" type="noConversion"/>
  </si>
  <si>
    <t>col.AVSC1 limit-lossyG,lossyA,intra.B.eqn.ratio.reflectance</t>
    <phoneticPr fontId="5" type="noConversion"/>
  </si>
  <si>
    <t>col.AVSC1 limit-lossyG,lossyA,intra.B.eqn.ratio</t>
    <phoneticPr fontId="5" type="noConversion"/>
  </si>
  <si>
    <t>col.AVSC2 losslG,lossyA,intra.A.eqn.ratio.geometry</t>
    <phoneticPr fontId="5" type="noConversion"/>
  </si>
  <si>
    <t>col.AVSC2 losslG,lossyA,intra.A.eqn.ratio.colour</t>
    <phoneticPr fontId="5" type="noConversion"/>
  </si>
  <si>
    <t>col.AVSC2 losslG,lossyA,intra.A.eqn.ratio.reflectance</t>
    <phoneticPr fontId="5" type="noConversion"/>
  </si>
  <si>
    <t>col.AVSC2 losslG,lossyA,intra.A.eqn.ratio</t>
    <phoneticPr fontId="5" type="noConversion"/>
  </si>
  <si>
    <t>col.AVSC2 losslG,lossyA,intra.B.eqn.ratio.geometry</t>
    <phoneticPr fontId="5" type="noConversion"/>
  </si>
  <si>
    <t>col.AVSC2 losslG,lossyA,intra.B.eqn.ratio.colour</t>
    <phoneticPr fontId="5" type="noConversion"/>
  </si>
  <si>
    <t>col.AVSC2 losslG,lossyA,intra.B.eqn.ratio.reflectance</t>
    <phoneticPr fontId="5" type="noConversion"/>
  </si>
  <si>
    <t>col.AVSC2 losslG,lossyA,intra.B.eqn.ratio</t>
    <phoneticPr fontId="5" type="noConversion"/>
  </si>
  <si>
    <t>col.AVSC3 losslG,limit-lossyA,intra.A.eqn.ratio.geometry</t>
    <phoneticPr fontId="5" type="noConversion"/>
  </si>
  <si>
    <t>col.AVSC3 losslG,limit-lossyA,intra.A.eqn.ratio.colour</t>
    <phoneticPr fontId="5" type="noConversion"/>
  </si>
  <si>
    <t>col.AVSC3 losslG,limit-lossyA,intra.A.eqn.ratio.reflectance</t>
    <phoneticPr fontId="5" type="noConversion"/>
  </si>
  <si>
    <t>col.AVSC3 losslG,limit-lossyA,intra.A.eqn.ratio</t>
    <phoneticPr fontId="5" type="noConversion"/>
  </si>
  <si>
    <t>col.AVSC3 losslG,limit-lossyA,intra.B.eqn.ratio</t>
    <phoneticPr fontId="5" type="noConversion"/>
  </si>
  <si>
    <t>col.AVSC3 losslG,limit-lossyA,intra.B.eqn.ratio.geometry</t>
    <phoneticPr fontId="5" type="noConversion"/>
  </si>
  <si>
    <t>col.AVSC3 losslG,limit-lossyA,intra.B.eqn.ratio.colour</t>
    <phoneticPr fontId="5" type="noConversion"/>
  </si>
  <si>
    <t>col.AVSC3 losslG,limit-lossyA,intra.B.eqn.ratio.reflectance</t>
    <phoneticPr fontId="5" type="noConversion"/>
  </si>
  <si>
    <t>col.AVSC3 losslG,limit-lossyA,intra.src.attribute-precision</t>
    <phoneticPr fontId="5" type="noConversion"/>
  </si>
  <si>
    <t>col.AVSC4 losslG,losslA,intra.src.attribute-precision</t>
    <phoneticPr fontId="5" type="noConversion"/>
  </si>
  <si>
    <t>col.AVSC4 losslG,losslA,intra.A.eqn.ratio</t>
    <phoneticPr fontId="5" type="noConversion"/>
  </si>
  <si>
    <t>col.AVSC4 losslG,losslA,intra.A.eqn.ratio.geometry</t>
    <phoneticPr fontId="5" type="noConversion"/>
  </si>
  <si>
    <t>col.AVSC4 losslG,losslA,intra.A.eqn.ratio.colour</t>
    <phoneticPr fontId="5" type="noConversion"/>
  </si>
  <si>
    <t>col.AVSC4 losslG,losslA,intra.A.eqn.ratio.reflectance</t>
    <phoneticPr fontId="5" type="noConversion"/>
  </si>
  <si>
    <t>col.AVSC4 losslG,losslA,intra.B.eqn.ratio</t>
    <phoneticPr fontId="5" type="noConversion"/>
  </si>
  <si>
    <t>col.AVSC4 losslG,losslA,intra.B.eqn.ratio.geometry</t>
    <phoneticPr fontId="5" type="noConversion"/>
  </si>
  <si>
    <t>col.AVSC4 losslG,losslA,intra.B.eqn.ratio.colour</t>
    <phoneticPr fontId="5" type="noConversion"/>
  </si>
  <si>
    <t>col.AVSC4 losslG,losslA,intra.B.eqn.ratio.reflectance</t>
    <phoneticPr fontId="5" type="noConversion"/>
  </si>
  <si>
    <t>range.AVSC4 losslG,losslA,intra.basketball_player_vox11</t>
    <phoneticPr fontId="5" type="noConversion"/>
  </si>
  <si>
    <t>eqn.ratio.colour</t>
    <phoneticPr fontId="5" type="noConversion"/>
  </si>
  <si>
    <t>eqn.ratio.geometry</t>
    <phoneticPr fontId="5" type="noConversion"/>
  </si>
  <si>
    <t>eqn.ratio</t>
    <phoneticPr fontId="5" type="noConversion"/>
  </si>
  <si>
    <t>eqn.ratio.reflectance</t>
    <phoneticPr fontId="5" type="noConversion"/>
  </si>
  <si>
    <t>eqn.ratio</t>
    <phoneticPr fontId="5" type="noConversion"/>
  </si>
  <si>
    <t>col.AVSC1 limit-lossyG,lossyA,ra.src.attribute-precision</t>
  </si>
  <si>
    <t>col.AVSC1 limit-lossyG,lossyA,ra.A.eqn.ratio</t>
  </si>
  <si>
    <t>col.AVSC1 limit-lossyG,lossyA,ra.A.eqn.ratio.geometry</t>
  </si>
  <si>
    <t>col.AVSC1 limit-lossyG,lossyA,ra.A.eqn.ratio.colour</t>
  </si>
  <si>
    <t>col.AVSC1 limit-lossyG,lossyA,ra.A.eqn.ratio.reflectance</t>
  </si>
  <si>
    <t>col.AVSC1 limit-lossyG,lossyA,ra.A.dec.d1-psnr</t>
  </si>
  <si>
    <t>col.AVSC1 limit-lossyG,lossyA,ra.A.dec.d1-hpsnr</t>
  </si>
  <si>
    <t>col.AVSC1 limit-lossyG,lossyA,ra.B.eqn.ratio</t>
  </si>
  <si>
    <t>col.AVSC1 limit-lossyG,lossyA,ra.B.eqn.ratio.geometry</t>
  </si>
  <si>
    <t>col.AVSC1 limit-lossyG,lossyA,ra.B.eqn.ratio.colour</t>
  </si>
  <si>
    <t>col.AVSC1 limit-lossyG,lossyA,ra.B.eqn.ratio.reflectance</t>
  </si>
  <si>
    <t>col.AVSC1 limit-lossyG,lossyA,ra.B.dec.d1-psnr</t>
  </si>
  <si>
    <t>col.AVSC1 limit-lossyG,lossyA,ra.B.dec.d1-hpsnr</t>
  </si>
  <si>
    <t>col.AVSC1 limit-lossyG,lossyA,ra.eqn.ab.bdrate-d1-hgeomrate</t>
  </si>
  <si>
    <t>col.AVSC1 limit-lossyG,lossyA,ra.eqn.ab.bdrate-d1-h</t>
  </si>
  <si>
    <t>name.A.AVSC1 limit-lossyG,lossyA,ra</t>
  </si>
  <si>
    <t>'AVSC1 limit-lossyG,lossyA,ra'!$J$1</t>
  </si>
  <si>
    <t>name.B.AVSC1 limit-lossyG,lossyA,ra</t>
  </si>
  <si>
    <t>'AVSC1 limit-lossyG,lossyA,ra'!$AK$1</t>
  </si>
  <si>
    <t>range.AVSC1 limit-lossyG,lossyA,ra.bridge_1mm</t>
  </si>
  <si>
    <t>'AVSC1 limit-lossyG,lossyA,ra'!$A$5:$CC$10</t>
  </si>
  <si>
    <t>range.AVSC1 limit-lossyG,lossyA,ra.double_T_section_1mm</t>
  </si>
  <si>
    <t>'AVSC1 limit-lossyG,lossyA,ra'!$A$11:$CC$16</t>
  </si>
  <si>
    <t>range.AVSC1 limit-lossyG,lossyA,ra.intersection1_1mm</t>
  </si>
  <si>
    <t>'AVSC1 limit-lossyG,lossyA,ra'!$A$17:$CC$22</t>
  </si>
  <si>
    <t>range.AVSC1 limit-lossyG,lossyA,ra.intersection2_1mm</t>
  </si>
  <si>
    <t>'AVSC1 limit-lossyG,lossyA,ra'!$A$23:$CC$28</t>
  </si>
  <si>
    <t>range.AVSC1 limit-lossyG,lossyA,ra.straight_road_1mm</t>
  </si>
  <si>
    <t>'AVSC1 limit-lossyG,lossyA,ra'!$A$29:$CC$34</t>
  </si>
  <si>
    <t>range.AVSC1 limit-lossyG,lossyA,ra.T_section_1mm</t>
  </si>
  <si>
    <t>'AVSC1 limit-lossyG,lossyA,ra'!$A$35:$CC$40</t>
  </si>
  <si>
    <t>'AVSC1 limit-lossyG,lossyA,ra'!$A$41:$CC$46</t>
  </si>
  <si>
    <t>'AVSC1 limit-lossyG,lossyA,ra'!$A$47:$CC$52</t>
  </si>
  <si>
    <t>'AVSC1 limit-lossyG,lossyA,ra'!$A$53:$CC$58</t>
  </si>
  <si>
    <t>'AVSC1 limit-lossyG,lossyA,ra'!$A$59:$CC$64</t>
  </si>
  <si>
    <t>'AVSC1 limit-lossyG,lossyA,ra'!$A$65:$CC$70</t>
  </si>
  <si>
    <t>'AVSC1 limit-lossyG,lossyA,ra'!$A$71:$CC$76</t>
  </si>
  <si>
    <t>'AVSC1 limit-lossyG,lossyA,ra'!$A$77:$CC$82</t>
  </si>
  <si>
    <t>'AVSC1 limit-lossyG,lossyA,ra'!$A$83:$CC$88</t>
  </si>
  <si>
    <t>'AVSC1 limit-lossyG,lossyA,ra'!$A$89:$CC$94</t>
  </si>
  <si>
    <t>'AVSC1 limit-lossyG,lossyA,ra'!$A$95:$CC$100</t>
  </si>
  <si>
    <t>'AVSC1 limit-lossyG,lossyA,ra'!$A$101:$CC$106</t>
  </si>
  <si>
    <t>'AVSC1 limit-lossyG,lossyA,ra'!$A$107:$CC$112</t>
  </si>
  <si>
    <t>'AVSC1 limit-lossyG,lossyA,ra'!$A$113:$CC$118</t>
  </si>
  <si>
    <t>'AVSC1 limit-lossyG,lossyA,ra'!$A$119:$CC$124</t>
  </si>
  <si>
    <t>'AVSC1 limit-lossyG,lossyA,ra'!$A$125:$CC$130</t>
  </si>
  <si>
    <t>'AVSC1 limit-lossyG,lossyA,ra'!$A$131:$CC$136</t>
  </si>
  <si>
    <t>col.AVSC2 losslG,lossyA,ra.src.attribute-precision</t>
  </si>
  <si>
    <t>col.AVSC2 losslG,lossyA,ra.A.eqn.ratio</t>
  </si>
  <si>
    <t>col.AVSC2 losslG,lossyA,ra.A.eqn.ratio.geometry</t>
  </si>
  <si>
    <t>col.AVSC2 losslG,lossyA,ra.A.eqn.ratio.colour</t>
  </si>
  <si>
    <t>col.AVSC2 losslG,lossyA,ra.A.eqn.ratio.reflectance</t>
  </si>
  <si>
    <t>col.AVSC2 losslG,lossyA,ra.B.eqn.ratio</t>
  </si>
  <si>
    <t>col.AVSC2 losslG,lossyA,ra.B.eqn.ratio.geometry</t>
  </si>
  <si>
    <t>col.AVSC2 losslG,lossyA,ra.B.eqn.ratio.colour</t>
  </si>
  <si>
    <t>col.AVSC2 losslG,lossyA,ra.B.eqn.ratio.reflectance</t>
  </si>
  <si>
    <t>'AVSC2 losslG,lossyA,ra'!$J$1</t>
  </si>
  <si>
    <t>'AVSC2 losslG,lossyA,ra'!$AI$1</t>
  </si>
  <si>
    <t>range.AVSC2 losslG,lossyA,ra.bridge_1mm</t>
  </si>
  <si>
    <t>'AVSC2 losslG,lossyA,ra'!$A$5:$BU$10</t>
  </si>
  <si>
    <t>range.AVSC2 losslG,lossyA,ra.double_T_section_1mm</t>
  </si>
  <si>
    <t>'AVSC2 losslG,lossyA,ra'!$A$11:$BU$16</t>
  </si>
  <si>
    <t>range.AVSC2 losslG,lossyA,ra.intersection1_1mm</t>
  </si>
  <si>
    <t>'AVSC2 losslG,lossyA,ra'!$A$17:$BU$22</t>
  </si>
  <si>
    <t>range.AVSC2 losslG,lossyA,ra.intersection2_1mm</t>
  </si>
  <si>
    <t>'AVSC2 losslG,lossyA,ra'!$A$23:$BU$28</t>
  </si>
  <si>
    <t>range.AVSC2 losslG,lossyA,ra.straight_road_1mm</t>
  </si>
  <si>
    <t>'AVSC2 losslG,lossyA,ra'!$A$29:$BU$34</t>
  </si>
  <si>
    <t>range.AVSC2 losslG,lossyA,ra.T_section_1mm</t>
  </si>
  <si>
    <t>'AVSC2 losslG,lossyA,ra'!$A$35:$BU$40</t>
  </si>
  <si>
    <t>'AVSC2 losslG,lossyA,ra'!$A$41:$BU$46</t>
  </si>
  <si>
    <t>'AVSC2 losslG,lossyA,ra'!$A$47:$BU$52</t>
  </si>
  <si>
    <t>'AVSC2 losslG,lossyA,ra'!$A$53:$BU$58</t>
  </si>
  <si>
    <t>'AVSC2 losslG,lossyA,ra'!$A$59:$BU$64</t>
  </si>
  <si>
    <t>'AVSC2 losslG,lossyA,ra'!$A$65:$BU$70</t>
  </si>
  <si>
    <t>'AVSC2 losslG,lossyA,ra'!$A$71:$BU$76</t>
  </si>
  <si>
    <t>'AVSC2 losslG,lossyA,ra'!$A$77:$BU$82</t>
  </si>
  <si>
    <t>'AVSC2 losslG,lossyA,ra'!$A$83:$BU$88</t>
  </si>
  <si>
    <t>'AVSC2 losslG,lossyA,ra'!$A$89:$BU$94</t>
  </si>
  <si>
    <t>'AVSC2 losslG,lossyA,ra'!$A$95:$BU$100</t>
  </si>
  <si>
    <t>'AVSC2 losslG,lossyA,ra'!$A$101:$BU$106</t>
  </si>
  <si>
    <t>'AVSC2 losslG,lossyA,ra'!$A$107:$BU$112</t>
  </si>
  <si>
    <t>'AVSC2 losslG,lossyA,ra'!$A$113:$BU$118</t>
  </si>
  <si>
    <t>'AVSC2 losslG,lossyA,ra'!$A$119:$BU$124</t>
  </si>
  <si>
    <t>'AVSC2 losslG,lossyA,ra'!$A$125:$BU$130</t>
  </si>
  <si>
    <t>'AVSC2 losslG,lossyA,ra'!$A$131:$BU$136</t>
  </si>
  <si>
    <t>col.AVSC3 losslG,limit-lossyA,ra.src.attribute-precision</t>
  </si>
  <si>
    <t>col.AVSC3 losslG,limit-lossyA,ra.A.eqn.ratio</t>
  </si>
  <si>
    <t>col.AVSC3 losslG,limit-lossyA,ra.A.eqn.ratio.geometry</t>
  </si>
  <si>
    <t>col.AVSC3 losslG,limit-lossyA,ra.A.eqn.ratio.colour</t>
  </si>
  <si>
    <t>col.AVSC3 losslG,limit-lossyA,ra.A.eqn.ratio.reflectance</t>
  </si>
  <si>
    <t>col.AVSC3 losslG,limit-lossyA,ra.B.eqn.ratio</t>
  </si>
  <si>
    <t>col.AVSC3 losslG,limit-lossyA,ra.B.eqn.ratio.geometry</t>
  </si>
  <si>
    <t>col.AVSC3 losslG,limit-lossyA,ra.B.eqn.ratio.colour</t>
  </si>
  <si>
    <t>col.AVSC3 losslG,limit-lossyA,ra.B.eqn.ratio.reflectance</t>
  </si>
  <si>
    <t>'AVSC3 losslG,limit-lossyA,ra'!$J$1</t>
  </si>
  <si>
    <t>'AVSC3 losslG,limit-lossyA,ra'!$AM$1</t>
  </si>
  <si>
    <t>range.AVSC3 losslG,limit-lossyA,ra.bridge_1mm</t>
  </si>
  <si>
    <t>'AVSC3 losslG,limit-lossyA,ra'!$A$5:$CM$9</t>
  </si>
  <si>
    <t>range.AVSC3 losslG,limit-lossyA,ra.double_T_section_1mm</t>
  </si>
  <si>
    <t>'AVSC3 losslG,limit-lossyA,ra'!$A$10:$CM$14</t>
  </si>
  <si>
    <t>range.AVSC3 losslG,limit-lossyA,ra.intersection1_1mm</t>
  </si>
  <si>
    <t>'AVSC3 losslG,limit-lossyA,ra'!$A$15:$CM$19</t>
  </si>
  <si>
    <t>range.AVSC3 losslG,limit-lossyA,ra.intersection2_1mm</t>
  </si>
  <si>
    <t>'AVSC3 losslG,limit-lossyA,ra'!$A$20:$CM$24</t>
  </si>
  <si>
    <t>range.AVSC3 losslG,limit-lossyA,ra.straight_road_1mm</t>
  </si>
  <si>
    <t>'AVSC3 losslG,limit-lossyA,ra'!$A$25:$CM$29</t>
  </si>
  <si>
    <t>range.AVSC3 losslG,limit-lossyA,ra.T_section_1mm</t>
  </si>
  <si>
    <t>'AVSC3 losslG,limit-lossyA,ra'!$A$30:$CM$34</t>
  </si>
  <si>
    <t>'AVSC3 losslG,limit-lossyA,ra'!$A$35:$CM$39</t>
  </si>
  <si>
    <t>'AVSC3 losslG,limit-lossyA,ra'!$A$40:$CM$44</t>
  </si>
  <si>
    <t>'AVSC3 losslG,limit-lossyA,ra'!$A$45:$CM$49</t>
  </si>
  <si>
    <t>'AVSC3 losslG,limit-lossyA,ra'!$A$50:$CM$54</t>
  </si>
  <si>
    <t>'AVSC3 losslG,limit-lossyA,ra'!$A$55:$CM$59</t>
  </si>
  <si>
    <t>'AVSC3 losslG,limit-lossyA,ra'!$A$60:$CM$64</t>
  </si>
  <si>
    <t>'AVSC3 losslG,limit-lossyA,ra'!$A$65:$CM$69</t>
  </si>
  <si>
    <t>'AVSC3 losslG,limit-lossyA,ra'!$A$70:$CM$74</t>
  </si>
  <si>
    <t>'AVSC3 losslG,limit-lossyA,ra'!$A$75:$CM$79</t>
  </si>
  <si>
    <t>'AVSC3 losslG,limit-lossyA,ra'!$A$80:$CM$84</t>
  </si>
  <si>
    <t>'AVSC3 losslG,limit-lossyA,ra'!$A$85:$CM$89</t>
  </si>
  <si>
    <t>'AVSC3 losslG,limit-lossyA,ra'!$A$90:$CM$94</t>
  </si>
  <si>
    <t>'AVSC3 losslG,limit-lossyA,ra'!$A$95:$CM$99</t>
  </si>
  <si>
    <t>'AVSC3 losslG,limit-lossyA,ra'!$A$100:$CM$104</t>
  </si>
  <si>
    <t>'AVSC3 losslG,limit-lossyA,ra'!$A$105:$CM$109</t>
  </si>
  <si>
    <t>'AVSC3 losslG,limit-lossyA,ra'!$A$110:$CM$114</t>
  </si>
  <si>
    <t>col.AVSC4 losslG,losslA,ra.src.attribute-precision</t>
  </si>
  <si>
    <t>col.AVSC4 losslG,losslA,ra.A.eqn.ratio</t>
  </si>
  <si>
    <t>col.AVSC4 losslG,losslA,ra.A.eqn.ratio.geometry</t>
  </si>
  <si>
    <t>col.AVSC4 losslG,losslA,ra.A.eqn.ratio.colour</t>
  </si>
  <si>
    <t>col.AVSC4 losslG,losslA,ra.A.eqn.ratio.reflectance</t>
  </si>
  <si>
    <t>col.AVSC4 losslG,losslA,ra.B.eqn.ratio</t>
  </si>
  <si>
    <t>col.AVSC4 losslG,losslA,ra.B.eqn.ratio.geometry</t>
  </si>
  <si>
    <t>col.AVSC4 losslG,losslA,ra.B.eqn.ratio.colour</t>
  </si>
  <si>
    <t>col.AVSC4 losslG,losslA,ra.B.eqn.ratio.reflectance</t>
  </si>
  <si>
    <t>'AVSC4 losslG,losslA,ra'!$I$1</t>
  </si>
  <si>
    <t>'AVSC4 losslG,losslA,ra'!$AD$1</t>
  </si>
  <si>
    <t>range.AVSC4 losslG,losslA,ra.bridge_1mm</t>
  </si>
  <si>
    <t>'AVSC4 losslG,losslA,ra'!$A$5:$BF$5</t>
  </si>
  <si>
    <t>range.AVSC4 losslG,losslA,ra.double_T_section_1mm</t>
  </si>
  <si>
    <t>'AVSC4 losslG,losslA,ra'!$A$6:$BF$6</t>
  </si>
  <si>
    <t>range.AVSC4 losslG,losslA,ra.intersection1_1mm</t>
  </si>
  <si>
    <t>'AVSC4 losslG,losslA,ra'!$A$7:$BF$7</t>
  </si>
  <si>
    <t>range.AVSC4 losslG,losslA,ra.intersection2_1mm</t>
  </si>
  <si>
    <t>'AVSC4 losslG,losslA,ra'!$A$8:$BF$8</t>
  </si>
  <si>
    <t>range.AVSC4 losslG,losslA,ra.straight_road_1mm</t>
  </si>
  <si>
    <t>'AVSC4 losslG,losslA,ra'!$A$9:$BF$9</t>
  </si>
  <si>
    <t>range.AVSC4 losslG,losslA,ra.T_section_1mm</t>
  </si>
  <si>
    <t>'AVSC4 losslG,losslA,ra'!$A$10:$BF$10</t>
  </si>
  <si>
    <t>'AVSC4 losslG,losslA,ra'!$A$11:$BF$11</t>
  </si>
  <si>
    <t>'AVSC4 losslG,losslA,ra'!$A$12:$BF$12</t>
  </si>
  <si>
    <t>'AVSC4 losslG,losslA,ra'!$A$13:$BF$13</t>
  </si>
  <si>
    <t>'AVSC4 losslG,losslA,ra'!$A$14:$BF$14</t>
  </si>
  <si>
    <t>'AVSC4 losslG,losslA,ra'!$A$15:$BF$15</t>
  </si>
  <si>
    <t>'AVSC4 losslG,losslA,ra'!$A$16:$BF$16</t>
  </si>
  <si>
    <t>'AVSC4 losslG,losslA,ra'!$A$17:$BF$17</t>
  </si>
  <si>
    <t>'AVSC4 losslG,losslA,ra'!$A$18:$BF$18</t>
  </si>
  <si>
    <t>'AVSC4 losslG,losslA,ra'!$A$19:$BF$19</t>
  </si>
  <si>
    <t>'AVSC4 losslG,losslA,ra'!$A$20:$BF$20</t>
  </si>
  <si>
    <t>'AVSC4 losslG,losslA,ra'!$A$21:$BF$21</t>
  </si>
  <si>
    <t>'AVSC4 losslG,losslA,ra'!$A$22:$BF$22</t>
  </si>
  <si>
    <t>'AVSC4 losslG,losslA,ra'!$A$23:$BF$23</t>
  </si>
  <si>
    <t>'AVSC4 losslG,losslA,ra'!$A$24:$BF$24</t>
  </si>
  <si>
    <t>'AVSC4 losslG,losslA,ra'!$A$25:$BF$25</t>
  </si>
  <si>
    <t>'AVSC4 losslG,losslA,ra'!$A$26:$BF$26</t>
  </si>
  <si>
    <t>col.AVSC1 limit-lossyG,lossyA,intra.src.geometry-precision</t>
    <phoneticPr fontId="5" type="noConversion"/>
  </si>
  <si>
    <t>col.AVSC1 limit-lossyG,lossyA,intra.A.eqn.bpp.reflectance</t>
    <phoneticPr fontId="5" type="noConversion"/>
  </si>
  <si>
    <t>col.AVSC3 limit-lossyG,lossyA,intra.src.reflectance-precision</t>
    <phoneticPr fontId="5" type="noConversion"/>
  </si>
  <si>
    <t>dec.enc.match</t>
    <phoneticPr fontId="5" type="noConversion"/>
  </si>
  <si>
    <t>col.AVSC2 losslG,lossyA,intra.A.eqn.bpp.reflectance</t>
    <phoneticPr fontId="5" type="noConversion"/>
  </si>
  <si>
    <t>col.AVSC2 losslG,lossyA,intra.src.reflectance-precision</t>
    <phoneticPr fontId="5" type="noConversion"/>
  </si>
  <si>
    <t>col.AVSC2 limit-lossyG,lossyA,intra.src.colour-precision</t>
    <phoneticPr fontId="5" type="noConversion"/>
  </si>
  <si>
    <t>col.AVSC2 losslG,lossyA,intra.src.colour-precision</t>
    <phoneticPr fontId="5" type="noConversion"/>
  </si>
  <si>
    <t>col.AVSC3 losslG,limit-lossyA,intra.src.colour-precision</t>
    <phoneticPr fontId="5" type="noConversion"/>
  </si>
  <si>
    <t>col.AVSC4 losslG,losslA,intra.src.colour-precision</t>
    <phoneticPr fontId="5" type="noConversion"/>
  </si>
  <si>
    <t>col.AVSC4 losslG,losslA,intra.src.reflectance-precision</t>
    <phoneticPr fontId="5" type="noConversion"/>
  </si>
  <si>
    <t>range.AVSC1 limit-lossyG,lossyA,intra.pcl_room_vox14</t>
    <phoneticPr fontId="5" type="noConversion"/>
  </si>
  <si>
    <t>range.AVSC1 limit-lossyG,lossyA,intra.pcl_hawk_vox11</t>
    <phoneticPr fontId="5" type="noConversion"/>
  </si>
  <si>
    <t>range.AVSC1 limit-lossyG,lossyA,intra.pcl_sofa_vox10</t>
    <phoneticPr fontId="5" type="noConversion"/>
  </si>
  <si>
    <t>range.AVSC1 limit-lossyG,lossyA,intra.pcl_papi_vox11</t>
    <phoneticPr fontId="5" type="noConversion"/>
  </si>
  <si>
    <t>range.AVSC2 losslG,lossyA,intra.pcl_room_vox14</t>
    <phoneticPr fontId="5" type="noConversion"/>
  </si>
  <si>
    <t>range.AVSC2 losslG,lossyA,intra.pcl_hawk_vox11</t>
    <phoneticPr fontId="5" type="noConversion"/>
  </si>
  <si>
    <t>range.AVSC2 losslG,lossyA,intra.pcl_sofa_vox10</t>
    <phoneticPr fontId="5" type="noConversion"/>
  </si>
  <si>
    <t>range.AVSC2 losslG,lossyA,intra.pcl_papi_vox11</t>
    <phoneticPr fontId="5" type="noConversion"/>
  </si>
  <si>
    <t>range.AVSC3 losslG,limit-lossyA,intra.pcl_room_vox14</t>
    <phoneticPr fontId="5" type="noConversion"/>
  </si>
  <si>
    <t>range.AVSC3 losslG,limit-lossyA,intra.pcl_hawk_vox11</t>
    <phoneticPr fontId="5" type="noConversion"/>
  </si>
  <si>
    <t>range.AVSC3 losslG,limit-lossyA,intra.pcl_sofa_vox10</t>
    <phoneticPr fontId="5" type="noConversion"/>
  </si>
  <si>
    <t>range.AVSC3 losslG,limit-lossyA,intra.pcl_papi_vox11</t>
    <phoneticPr fontId="5" type="noConversion"/>
  </si>
  <si>
    <t>range.AVSC4 losslG,losslA,intra.pcl_room_vox14</t>
    <phoneticPr fontId="5" type="noConversion"/>
  </si>
  <si>
    <t>range.AVSC4 losslG,losslA,intra.pcl_hawk_vox11</t>
    <phoneticPr fontId="5" type="noConversion"/>
  </si>
  <si>
    <t>range.AVSC4 losslG,losslA,intra.pcl_sofa_vox10</t>
    <phoneticPr fontId="5" type="noConversion"/>
  </si>
  <si>
    <t>range.AVSC4 losslG,losslA,intra.pcl_papi_vox11</t>
    <phoneticPr fontId="5" type="noConversion"/>
  </si>
  <si>
    <t>Geom Encoder runtime [s]</t>
    <phoneticPr fontId="5" type="noConversion"/>
  </si>
  <si>
    <t>Geom Decoder runtime [s]</t>
    <phoneticPr fontId="5" type="noConversion"/>
  </si>
  <si>
    <t>A.geo.enc.utime</t>
    <phoneticPr fontId="5" type="noConversion"/>
  </si>
  <si>
    <t>A.geo.dec.utime</t>
    <phoneticPr fontId="5" type="noConversion"/>
  </si>
  <si>
    <t>A.col.enc.utime</t>
    <phoneticPr fontId="5" type="noConversion"/>
  </si>
  <si>
    <t>A.col.dec.utime</t>
    <phoneticPr fontId="5" type="noConversion"/>
  </si>
  <si>
    <t>B.geo.enc.utime</t>
    <phoneticPr fontId="5" type="noConversion"/>
  </si>
  <si>
    <t>B.geo.dec.utime</t>
    <phoneticPr fontId="5" type="noConversion"/>
  </si>
  <si>
    <t>B.ref.enc.utime</t>
    <phoneticPr fontId="5" type="noConversion"/>
  </si>
  <si>
    <t>B.ref.dec.utime</t>
    <phoneticPr fontId="5" type="noConversion"/>
  </si>
  <si>
    <t>col.AVSC1 limit-lossyG,lossyA,intra.A.geo.enc.utime</t>
    <phoneticPr fontId="5" type="noConversion"/>
  </si>
  <si>
    <t>col.AVSC1 limit-lossyG,lossyA,intra.A.geo.dec.utime</t>
    <phoneticPr fontId="5" type="noConversion"/>
  </si>
  <si>
    <t>col.AVSC1 limit-lossyG,lossyA,intra.A.col.enc.utime</t>
    <phoneticPr fontId="5" type="noConversion"/>
  </si>
  <si>
    <t>col.AVSC1 limit-lossyG,lossyA,intra.A.col.dec.utime</t>
    <phoneticPr fontId="5" type="noConversion"/>
  </si>
  <si>
    <t>col.AVSC1 limit-lossyG,lossyA,intra.A.ref.enc.utime</t>
    <phoneticPr fontId="5" type="noConversion"/>
  </si>
  <si>
    <t>col.AVSC1 limit-lossyG,lossyA,intra.A.ref.dec.utime</t>
    <phoneticPr fontId="5" type="noConversion"/>
  </si>
  <si>
    <t>col.AVSC1 limit-lossyG,lossyA,intra.B.geo.enc.utime</t>
    <phoneticPr fontId="5" type="noConversion"/>
  </si>
  <si>
    <t>col.AVSC1 limit-lossyG,lossyA,intra.B.geo.dec.utime</t>
    <phoneticPr fontId="5" type="noConversion"/>
  </si>
  <si>
    <t>col.AVSC1 limit-lossyG,lossyA,intra.B.col.enc.utime</t>
    <phoneticPr fontId="5" type="noConversion"/>
  </si>
  <si>
    <t>col.AVSC1 limit-lossyG,lossyA,intra.B.col.dec.utime</t>
    <phoneticPr fontId="5" type="noConversion"/>
  </si>
  <si>
    <t>col.AVSC1 limit-lossyG,lossyA,intra.B.ref.enc.utime</t>
    <phoneticPr fontId="5" type="noConversion"/>
  </si>
  <si>
    <t>col.AVSC1 limit-lossyG,lossyA,intra.B.ref.dec.utime</t>
    <phoneticPr fontId="5" type="noConversion"/>
  </si>
  <si>
    <t>'AVSC1 limit-lossyG,lossyA,intra'!$AS$1</t>
    <phoneticPr fontId="5" type="noConversion"/>
  </si>
  <si>
    <t>'AVSC1 limit-lossyG,lossyA,intra'!$L$1</t>
    <phoneticPr fontId="5" type="noConversion"/>
  </si>
  <si>
    <t>'AVSC1 limit-lossyG,lossyA,intra'!$A$5:$CY$10</t>
    <phoneticPr fontId="5" type="noConversion"/>
  </si>
  <si>
    <t>'AVSC1 limit-lossyG,lossyA,intra'!$A$11:$CY$16</t>
    <phoneticPr fontId="5" type="noConversion"/>
  </si>
  <si>
    <t>'AVSC1 limit-lossyG,lossyA,intra'!$A$17:$CY$22</t>
    <phoneticPr fontId="5" type="noConversion"/>
  </si>
  <si>
    <t>'AVSC1 limit-lossyG,lossyA,intra'!$A$23:$CY$28</t>
  </si>
  <si>
    <t>'AVSC1 limit-lossyG,lossyA,intra'!$A$29:$CY$34</t>
  </si>
  <si>
    <t>'AVSC1 limit-lossyG,lossyA,intra'!$A$35:$CY$40</t>
  </si>
  <si>
    <t>'AVSC1 limit-lossyG,lossyA,intra'!$A$41:$CY$46</t>
  </si>
  <si>
    <t>'AVSC1 limit-lossyG,lossyA,intra'!$A$47:$CY$52</t>
  </si>
  <si>
    <t>'AVSC1 limit-lossyG,lossyA,intra'!$A$53:$CY$58</t>
  </si>
  <si>
    <t>'AVSC1 limit-lossyG,lossyA,intra'!$A$59:$CY$64</t>
  </si>
  <si>
    <t>'AVSC1 limit-lossyG,lossyA,intra'!$A$65:$CY$70</t>
  </si>
  <si>
    <t>'AVSC1 limit-lossyG,lossyA,intra'!$A$71:$CY$76</t>
  </si>
  <si>
    <t>'AVSC1 limit-lossyG,lossyA,intra'!$A$77:$CY$82</t>
  </si>
  <si>
    <t>'AVSC1 limit-lossyG,lossyA,intra'!$A$83:$CY$88</t>
  </si>
  <si>
    <t>'AVSC1 limit-lossyG,lossyA,intra'!$A$89:$CY$94</t>
  </si>
  <si>
    <t>'AVSC1 limit-lossyG,lossyA,intra'!$A$95:$CY$100</t>
  </si>
  <si>
    <t>'AVSC1 limit-lossyG,lossyA,intra'!$A$101:$CY$106</t>
  </si>
  <si>
    <t>'AVSC1 limit-lossyG,lossyA,intra'!$A$107:$CY$112</t>
  </si>
  <si>
    <t>'AVSC1 limit-lossyG,lossyA,intra'!$A$113:$CY$118</t>
  </si>
  <si>
    <t>'AVSC1 limit-lossyG,lossyA,intra'!$A$119:$CY$124</t>
  </si>
  <si>
    <t>'AVSC1 limit-lossyG,lossyA,intra'!$A$125:$CY$130</t>
  </si>
  <si>
    <t>'AVSC1 limit-lossyG,lossyA,intra'!$A$131:$CY$136</t>
  </si>
  <si>
    <t>'AVSC1 limit-lossyG,lossyA,intra'!$A$137:$CY$142</t>
  </si>
  <si>
    <t>'AVSC1 limit-lossyG,lossyA,intra'!$A$143:$CY$148</t>
  </si>
  <si>
    <t>'AVSC1 limit-lossyG,lossyA,intra'!$A$149:$CY$154</t>
  </si>
  <si>
    <t>'AVSC1 limit-lossyG,lossyA,intra'!$A$155:$CY$160</t>
  </si>
  <si>
    <t>col.AVSC2 losslG,lossyA,intra.A.geo-enc.utime</t>
    <phoneticPr fontId="5" type="noConversion"/>
  </si>
  <si>
    <t>col.AVSC2 losslG,lossyA,intra.A.geo-dec.utime</t>
    <phoneticPr fontId="5" type="noConversion"/>
  </si>
  <si>
    <t>col.AVSC2 losslG,lossyA,intra.A.col.enc.utime</t>
    <phoneticPr fontId="5" type="noConversion"/>
  </si>
  <si>
    <t>col.AVSC2 losslG,lossyA,intra.A.col.dec.utime</t>
    <phoneticPr fontId="5" type="noConversion"/>
  </si>
  <si>
    <t>col.AVSC2 losslG,lossyA,intra.A.ref.enc.utime</t>
    <phoneticPr fontId="5" type="noConversion"/>
  </si>
  <si>
    <t>col.AVSC2 losslG,lossyA,intra.A.ref.dec.utime</t>
    <phoneticPr fontId="5" type="noConversion"/>
  </si>
  <si>
    <t>col.AVSC2 losslG,lossyA,intra.B.geo-enc.utime</t>
    <phoneticPr fontId="5" type="noConversion"/>
  </si>
  <si>
    <t>col.AVSC2 losslG,lossyA,intra.B.geo-dec.utime</t>
    <phoneticPr fontId="5" type="noConversion"/>
  </si>
  <si>
    <t>col.AVSC2 losslG,lossyA,intra.B.col.enc.utime</t>
    <phoneticPr fontId="5" type="noConversion"/>
  </si>
  <si>
    <t>col.AVSC2 losslG,lossyA,intra.B.col.dec.utime</t>
    <phoneticPr fontId="5" type="noConversion"/>
  </si>
  <si>
    <t>col.AVSC2 losslG,lossyA,intra.B.ref.enc.utime</t>
    <phoneticPr fontId="5" type="noConversion"/>
  </si>
  <si>
    <t>col.AVSC2 losslG,lossyA,intra.B.ref.dec.utime</t>
    <phoneticPr fontId="5" type="noConversion"/>
  </si>
  <si>
    <t>'AVSC2 losslG,lossyA,intra'!$L$1</t>
    <phoneticPr fontId="5" type="noConversion"/>
  </si>
  <si>
    <t>'AVSC2 losslG,lossyA,intra'!$AQ$1</t>
    <phoneticPr fontId="5" type="noConversion"/>
  </si>
  <si>
    <t>'AVSC2 losslG,lossyA,intra'!$A$5:$CQ$10</t>
  </si>
  <si>
    <t>'AVSC2 losslG,lossyA,intra'!$A$11:$CQ$16</t>
  </si>
  <si>
    <t>'AVSC2 losslG,lossyA,intra'!$A$17:$CQ$22</t>
  </si>
  <si>
    <t>'AVSC2 losslG,lossyA,intra'!$A$23:$CQ$28</t>
  </si>
  <si>
    <t>'AVSC2 losslG,lossyA,intra'!$A$29:$CQ$34</t>
  </si>
  <si>
    <t>'AVSC2 losslG,lossyA,intra'!$A$35:$CQ$40</t>
  </si>
  <si>
    <t>'AVSC2 losslG,lossyA,intra'!$A$41:$CQ$46</t>
  </si>
  <si>
    <t>'AVSC2 losslG,lossyA,intra'!$A$47:$CQ$52</t>
  </si>
  <si>
    <t>'AVSC2 losslG,lossyA,intra'!$A$53:$CQ$58</t>
  </si>
  <si>
    <t>'AVSC2 losslG,lossyA,intra'!$A$59:$CQ$64</t>
  </si>
  <si>
    <t>'AVSC2 losslG,lossyA,intra'!$A$65:$CQ$70</t>
  </si>
  <si>
    <t>'AVSC2 losslG,lossyA,intra'!$A$71:$CQ$76</t>
  </si>
  <si>
    <t>'AVSC2 losslG,lossyA,intra'!$A$77:$CQ$82</t>
  </si>
  <si>
    <t>col.AVSC3 losslG,limit-lossyA,intra.A.geo.enc.utime</t>
    <phoneticPr fontId="5" type="noConversion"/>
  </si>
  <si>
    <t>col.AVSC3 losslG,limit-lossyA,intra.A.geo.dec.utime</t>
    <phoneticPr fontId="5" type="noConversion"/>
  </si>
  <si>
    <t>col.AVSC3 losslG,limit-lossyA,intra.A.col.enc.utime</t>
    <phoneticPr fontId="5" type="noConversion"/>
  </si>
  <si>
    <t>col.AVSC3 losslG,limit-lossyA,intra.A.col.dec.utime</t>
    <phoneticPr fontId="5" type="noConversion"/>
  </si>
  <si>
    <t>col.AVSC3 losslG,limit-lossyA,intra.A.ref.enc.utime</t>
    <phoneticPr fontId="5" type="noConversion"/>
  </si>
  <si>
    <t>col.AVSC3 losslG,limit-lossyA,intra.A.ref.dec.utime</t>
    <phoneticPr fontId="5" type="noConversion"/>
  </si>
  <si>
    <t>col.AVSC3 losslG,limit-lossyA,intra.B.geo.enc.utime</t>
    <phoneticPr fontId="5" type="noConversion"/>
  </si>
  <si>
    <t>col.AVSC3 losslG,limit-lossyA,intra.B.geo.dec.utime</t>
    <phoneticPr fontId="5" type="noConversion"/>
  </si>
  <si>
    <t>col.AVSC3 losslG,limit-lossyA,intra.B.col.enc.utime</t>
    <phoneticPr fontId="5" type="noConversion"/>
  </si>
  <si>
    <t>col.AVSC3 losslG,limit-lossyA,intra.B.col.dec.utime</t>
    <phoneticPr fontId="5" type="noConversion"/>
  </si>
  <si>
    <t>col.AVSC3 losslG,limit-lossyA,intra.B.ref.enc.utime</t>
    <phoneticPr fontId="5" type="noConversion"/>
  </si>
  <si>
    <t>col.AVSC3 losslG,limit-lossyA,intra.B.ref.dec.utime</t>
    <phoneticPr fontId="5" type="noConversion"/>
  </si>
  <si>
    <t>col.AVSC3 losslG,limit-lossyA,intra.eqn.ab.ratio-enc-time</t>
    <phoneticPr fontId="5" type="noConversion"/>
  </si>
  <si>
    <t>col.AVSC3 losslG,limit-lossyA,intra.eqn.ab.ratio-dec-time</t>
    <phoneticPr fontId="5" type="noConversion"/>
  </si>
  <si>
    <t>col.AVSC3 losslG,limit-lossyA,intra.eqn.ab.ratio-geo-enc-time</t>
    <phoneticPr fontId="5" type="noConversion"/>
  </si>
  <si>
    <t>col.AVSC3 losslG,limit-lossyA,intra.eqn.ab.ratio-geo-dec-time</t>
    <phoneticPr fontId="5" type="noConversion"/>
  </si>
  <si>
    <t>col.AVSC3 losslG,limit-lossyA,intra.eqn.ab.ratio-col-enc-time</t>
    <phoneticPr fontId="5" type="noConversion"/>
  </si>
  <si>
    <t>col.AVSC3 losslG,limit-lossyA,intra.eqn.ab.ratio-col-dec-time</t>
    <phoneticPr fontId="5" type="noConversion"/>
  </si>
  <si>
    <t>col.AVSC3 losslG,limit-lossyA,intra.eqn.ab.ratio-ref-enc-time</t>
    <phoneticPr fontId="5" type="noConversion"/>
  </si>
  <si>
    <t>col.AVSC3 losslG,limit-lossyA,intra.eqn.ab.ratio-ref-dec-time</t>
    <phoneticPr fontId="5" type="noConversion"/>
  </si>
  <si>
    <t>'AVSC3 losslG,limit-lossyA,intra'!$L$1</t>
    <phoneticPr fontId="5" type="noConversion"/>
  </si>
  <si>
    <t>'AVSC3 losslG,limit-lossyA,intra'!$AU$1</t>
    <phoneticPr fontId="5" type="noConversion"/>
  </si>
  <si>
    <t>'AVSC3 losslG,limit-lossyA,intra'!$A$5:$DI$9</t>
  </si>
  <si>
    <t>'AVSC3 losslG,limit-lossyA,intra'!$A$10:$DI$14</t>
  </si>
  <si>
    <t>'AVSC3 losslG,limit-lossyA,intra'!$A$15:$DI$19</t>
  </si>
  <si>
    <t>'AVSC3 losslG,limit-lossyA,intra'!$A$20:$DI$24</t>
  </si>
  <si>
    <t>'AVSC3 losslG,limit-lossyA,intra'!$A$25:$DI$29</t>
  </si>
  <si>
    <t>'AVSC3 losslG,limit-lossyA,intra'!$A$30:$DI$34</t>
  </si>
  <si>
    <t>'AVSC3 losslG,limit-lossyA,intra'!$A$35:$DI$39</t>
  </si>
  <si>
    <t>'AVSC3 losslG,limit-lossyA,intra'!$A$40:$DI$44</t>
  </si>
  <si>
    <t>'AVSC3 losslG,limit-lossyA,intra'!$A$45:$DI$49</t>
  </si>
  <si>
    <t>'AVSC3 losslG,limit-lossyA,intra'!$A$50:$DI$54</t>
  </si>
  <si>
    <t>'AVSC3 losslG,limit-lossyA,intra'!$A$55:$DI$59</t>
  </si>
  <si>
    <t>'AVSC3 losslG,limit-lossyA,intra'!$A$60:$DI$64</t>
  </si>
  <si>
    <t>'AVSC3 losslG,limit-lossyA,intra'!$A$65:$DI$69</t>
  </si>
  <si>
    <t>'AVSC3 losslG,limit-lossyA,intra'!$A$70:$DI$74</t>
  </si>
  <si>
    <t>'AVSC3 losslG,limit-lossyA,intra'!$A$75:$DI$79</t>
  </si>
  <si>
    <t>'AVSC3 losslG,limit-lossyA,intra'!$A$80:$DI$84</t>
  </si>
  <si>
    <t>'AVSC3 losslG,limit-lossyA,intra'!$A$85:$DI$89</t>
  </si>
  <si>
    <t>'AVSC3 losslG,limit-lossyA,intra'!$A$90:$DI$94</t>
  </si>
  <si>
    <t>'AVSC3 losslG,limit-lossyA,intra'!$A$95:$DI$99</t>
  </si>
  <si>
    <t>'AVSC3 losslG,limit-lossyA,intra'!$A$100:$DI$104</t>
  </si>
  <si>
    <t>'AVSC3 losslG,limit-lossyA,intra'!$A$105:$DI$109</t>
  </si>
  <si>
    <t>'AVSC3 losslG,limit-lossyA,intra'!$A$110:$DI$114</t>
  </si>
  <si>
    <t>'AVSC3 losslG,limit-lossyA,intra'!$A$115:$DI$119</t>
  </si>
  <si>
    <t>'AVSC3 losslG,limit-lossyA,intra'!$A$120:$DI$124</t>
  </si>
  <si>
    <t>'AVSC3 losslG,limit-lossyA,intra'!$A$125:$DI$129</t>
  </si>
  <si>
    <t>'AVSC3 losslG,limit-lossyA,intra'!$A$130:$DI$134</t>
  </si>
  <si>
    <t>col.AVSC4 losslG,losslA,intra.A.geo.enc.utime</t>
    <phoneticPr fontId="5" type="noConversion"/>
  </si>
  <si>
    <t>col.AVSC4 losslG,losslA,intra.A.geo.dec.utime</t>
    <phoneticPr fontId="5" type="noConversion"/>
  </si>
  <si>
    <t>col.AVSC4 losslG,losslA,intra.A.col.enc.utime</t>
    <phoneticPr fontId="5" type="noConversion"/>
  </si>
  <si>
    <t>col.AVSC4 losslG,losslA,intra.A.col.dec.utime</t>
    <phoneticPr fontId="5" type="noConversion"/>
  </si>
  <si>
    <t>col.AVSC4 losslG,losslA,intra.A.ref.enc.utime</t>
    <phoneticPr fontId="5" type="noConversion"/>
  </si>
  <si>
    <t>col.AVSC4 losslG,losslA,intra.A.ref.dec.utime</t>
    <phoneticPr fontId="5" type="noConversion"/>
  </si>
  <si>
    <t>col.AVSC4 losslG,losslA,intra.B.geo.enc.utime</t>
    <phoneticPr fontId="5" type="noConversion"/>
  </si>
  <si>
    <t>col.AVSC4 losslG,losslA,intra.B.geo.dec.utime</t>
    <phoneticPr fontId="5" type="noConversion"/>
  </si>
  <si>
    <t>col.AVSC4 losslG,losslA,intra.B.col.enc.utime</t>
    <phoneticPr fontId="5" type="noConversion"/>
  </si>
  <si>
    <t>col.AVSC4 losslG,losslA,intra.B.col.dec.utime</t>
    <phoneticPr fontId="5" type="noConversion"/>
  </si>
  <si>
    <t>col.AVSC4 losslG,losslA,intra.B.ref.enc.utime</t>
    <phoneticPr fontId="5" type="noConversion"/>
  </si>
  <si>
    <t>col.AVSC4 losslG,losslA,intra.B.ref.dec.utime</t>
    <phoneticPr fontId="5" type="noConversion"/>
  </si>
  <si>
    <t>col.AVSC4 losslG,losslA,intra.eqn.ab.ratio-enc-time</t>
    <phoneticPr fontId="5" type="noConversion"/>
  </si>
  <si>
    <t>col.AVSC4 losslG,losslA,intra.eqn.ab.ratio-dec-time</t>
    <phoneticPr fontId="5" type="noConversion"/>
  </si>
  <si>
    <t>col.AVSC4 losslG,losslA,intra.eqn.ab.ratio-geo-enc-time</t>
    <phoneticPr fontId="5" type="noConversion"/>
  </si>
  <si>
    <t>col.AVSC4 losslG,losslA,intra.eqn.ab.ratio-geo-dec-time</t>
    <phoneticPr fontId="5" type="noConversion"/>
  </si>
  <si>
    <t>col.AVSC4 losslG,losslA,intra.eqn.ab.ratio-col-enc-time</t>
    <phoneticPr fontId="5" type="noConversion"/>
  </si>
  <si>
    <t>col.AVSC4 losslG,losslA,intra.eqn.ab.ratio-col-dec-time</t>
    <phoneticPr fontId="5" type="noConversion"/>
  </si>
  <si>
    <t>col.AVSC4 losslG,losslA,intra.eqn.ab.ratio-ref-enc-time</t>
    <phoneticPr fontId="5" type="noConversion"/>
  </si>
  <si>
    <t>col.AVSC4 losslG,losslA,intra.eqn.ab.ratio-ref-dec-time</t>
    <phoneticPr fontId="5" type="noConversion"/>
  </si>
  <si>
    <t>'AVSC4 losslG,losslA,intra'!$K$1</t>
    <phoneticPr fontId="5" type="noConversion"/>
  </si>
  <si>
    <t>'AVSC4 losslG,losslA,intra'!$AL$1</t>
    <phoneticPr fontId="5" type="noConversion"/>
  </si>
  <si>
    <t>'AVSC4 losslG,losslA,intra'!$A$5:$CB$5</t>
  </si>
  <si>
    <t>'AVSC4 losslG,losslA,intra'!$A$6:$CB$6</t>
  </si>
  <si>
    <t>'AVSC4 losslG,losslA,intra'!$A$7:$CB$7</t>
  </si>
  <si>
    <t>'AVSC4 losslG,losslA,intra'!$A$8:$CB$8</t>
  </si>
  <si>
    <t>'AVSC4 losslG,losslA,intra'!$A$9:$CB$9</t>
  </si>
  <si>
    <t>'AVSC4 losslG,losslA,intra'!$A$10:$CB$10</t>
  </si>
  <si>
    <t>'AVSC4 losslG,losslA,intra'!$A$11:$CB$11</t>
  </si>
  <si>
    <t>'AVSC4 losslG,losslA,intra'!$A$12:$CB$12</t>
  </si>
  <si>
    <t>'AVSC4 losslG,losslA,intra'!$A$13:$CB$13</t>
  </si>
  <si>
    <t>'AVSC4 losslG,losslA,intra'!$A$14:$CB$14</t>
  </si>
  <si>
    <t>'AVSC4 losslG,losslA,intra'!$A$15:$CB$15</t>
  </si>
  <si>
    <t>'AVSC4 losslG,losslA,intra'!$A$16:$CB$16</t>
  </si>
  <si>
    <t>'AVSC4 losslG,losslA,intra'!$A$17:$CB$17</t>
  </si>
  <si>
    <t>'AVSC4 losslG,losslA,intra'!$A$18:$CB$18</t>
  </si>
  <si>
    <t>'AVSC4 losslG,losslA,intra'!$A$19:$CB$19</t>
  </si>
  <si>
    <t>'AVSC4 losslG,losslA,intra'!$A$20:$CB$20</t>
  </si>
  <si>
    <t>'AVSC4 losslG,losslA,intra'!$A$21:$CB$21</t>
  </si>
  <si>
    <t>'AVSC4 losslG,losslA,intra'!$A$22:$CB$22</t>
  </si>
  <si>
    <t>'AVSC4 losslG,losslA,intra'!$A$23:$CB$23</t>
  </si>
  <si>
    <t>'AVSC4 losslG,losslA,intra'!$A$24:$CB$24</t>
  </si>
  <si>
    <t>'AVSC4 losslG,losslA,intra'!$A$25:$CB$25</t>
  </si>
  <si>
    <t>'AVSC4 losslG,losslA,intra'!$A$26:$CB$26</t>
  </si>
  <si>
    <t>'AVSC4 losslG,losslA,intra'!$A$27:$CB$27</t>
  </si>
  <si>
    <t>'AVSC4 losslG,losslA,intra'!$A$28:$CB$28</t>
  </si>
  <si>
    <t>'AVSC4 losslG,losslA,intra'!$A$29:$CB$29</t>
  </si>
  <si>
    <t>'AVSC4 losslG,losslA,intra'!$A$30:$CB$30</t>
  </si>
  <si>
    <t>range.AVSC1 limit-lossyG,lossyA,intra.apollo_vox14</t>
    <phoneticPr fontId="5" type="noConversion"/>
  </si>
  <si>
    <t>range.AVSC1 limit-lossyG,lossyA,intra.bicycle_vox13</t>
    <phoneticPr fontId="5" type="noConversion"/>
  </si>
  <si>
    <t>range.AVSC1 limit-lossyG,lossyA,intra.building_vox13</t>
    <phoneticPr fontId="5" type="noConversion"/>
  </si>
  <si>
    <t>range.AVSC1 limit-lossyG,lossyA,intra.caiman_vox15</t>
    <phoneticPr fontId="5" type="noConversion"/>
  </si>
  <si>
    <t>range.AVSC1 limit-lossyG,lossyA,intra.candlestick_vox13</t>
    <phoneticPr fontId="5" type="noConversion"/>
  </si>
  <si>
    <t>range.AVSC1 limit-lossyG,lossyA,intra.casket_vox14</t>
    <phoneticPr fontId="5" type="noConversion"/>
  </si>
  <si>
    <t>range.AVSC1 limit-lossyG,lossyA,intra.chair_vox12</t>
    <phoneticPr fontId="5" type="noConversion"/>
  </si>
  <si>
    <t>range.AVSC1 limit-lossyG,lossyA,intra.clock1_vox13</t>
    <phoneticPr fontId="5" type="noConversion"/>
  </si>
  <si>
    <t>range.AVSC1 limit-lossyG,lossyA,intra.machine_vox12</t>
    <phoneticPr fontId="5" type="noConversion"/>
  </si>
  <si>
    <t>range.AVSC1 limit-lossyG,lossyA,intra.mosquito_vox14</t>
    <phoneticPr fontId="5" type="noConversion"/>
  </si>
  <si>
    <t>range.AVSC1 limit-lossyG,lossyA,intra.puppet_vox15</t>
    <phoneticPr fontId="5" type="noConversion"/>
  </si>
  <si>
    <t>range.AVSC1 limit-lossyG,lossyA,intra.shoes_vox13</t>
    <phoneticPr fontId="5" type="noConversion"/>
  </si>
  <si>
    <t>range.AVSC1 limit-lossyG,lossyA,intra.vessel4_vox12</t>
    <phoneticPr fontId="5" type="noConversion"/>
  </si>
  <si>
    <t>range.AVSC1 limit-lossyG,lossyA,intra.violin1_vox14</t>
    <phoneticPr fontId="5" type="noConversion"/>
  </si>
  <si>
    <t>'AVSC1 limit-lossyG,lossyA,intra'!$A$161:$CY$166</t>
    <phoneticPr fontId="5" type="noConversion"/>
  </si>
  <si>
    <t>'AVSC1 limit-lossyG,lossyA,intra'!$A$167:$CY$172</t>
    <phoneticPr fontId="5" type="noConversion"/>
  </si>
  <si>
    <t>'AVSC1 limit-lossyG,lossyA,intra'!$A$173:$CY$178</t>
    <phoneticPr fontId="5" type="noConversion"/>
  </si>
  <si>
    <t>'AVSC1 limit-lossyG,lossyA,intra'!$A$179:$CY$184</t>
    <phoneticPr fontId="5" type="noConversion"/>
  </si>
  <si>
    <t>'AVSC1 limit-lossyG,lossyA,intra'!$A$185:$CY$190</t>
    <phoneticPr fontId="5" type="noConversion"/>
  </si>
  <si>
    <t>'AVSC1 limit-lossyG,lossyA,intra'!$A$191:$CY$196</t>
    <phoneticPr fontId="5" type="noConversion"/>
  </si>
  <si>
    <t>'AVSC1 limit-lossyG,lossyA,intra'!$A$197:$CY$202</t>
    <phoneticPr fontId="5" type="noConversion"/>
  </si>
  <si>
    <t>'AVSC1 limit-lossyG,lossyA,intra'!$A$203:$CY$208</t>
    <phoneticPr fontId="5" type="noConversion"/>
  </si>
  <si>
    <t>'AVSC1 limit-lossyG,lossyA,intra'!$A$209:$CY$214</t>
    <phoneticPr fontId="5" type="noConversion"/>
  </si>
  <si>
    <t>'AVSC1 limit-lossyG,lossyA,intra'!$A$215:$CY$220</t>
    <phoneticPr fontId="5" type="noConversion"/>
  </si>
  <si>
    <t>'AVSC1 limit-lossyG,lossyA,intra'!$A$221:$CY$226</t>
    <phoneticPr fontId="5" type="noConversion"/>
  </si>
  <si>
    <t>'AVSC1 limit-lossyG,lossyA,intra'!$A$227:$CY$232</t>
    <phoneticPr fontId="5" type="noConversion"/>
  </si>
  <si>
    <t>'AVSC1 limit-lossyG,lossyA,intra'!$A$233:$CY$238</t>
    <phoneticPr fontId="5" type="noConversion"/>
  </si>
  <si>
    <t>'AVSC1 limit-lossyG,lossyA,intra'!$A$239:$CY$244</t>
    <phoneticPr fontId="5" type="noConversion"/>
  </si>
  <si>
    <t>range.AVSC2 losslG,lossyA,intra.apollo_vox14</t>
    <phoneticPr fontId="5" type="noConversion"/>
  </si>
  <si>
    <t>range.AVSC2 losslG,lossyA,intra.bicycle_vox13</t>
    <phoneticPr fontId="5" type="noConversion"/>
  </si>
  <si>
    <t>range.AVSC2 losslG,lossyA,intra.building_vox13</t>
    <phoneticPr fontId="5" type="noConversion"/>
  </si>
  <si>
    <t>range.AVSC2 losslG,lossyA,intra.caiman_vox15</t>
    <phoneticPr fontId="5" type="noConversion"/>
  </si>
  <si>
    <t>range.AVSC2 losslG,lossyA,intra.candlestick_vox13</t>
    <phoneticPr fontId="5" type="noConversion"/>
  </si>
  <si>
    <t>range.AVSC2 losslG,lossyA,intra.casket_vox14</t>
    <phoneticPr fontId="5" type="noConversion"/>
  </si>
  <si>
    <t>range.AVSC2 losslG,lossyA,intra.chair_vox12</t>
    <phoneticPr fontId="5" type="noConversion"/>
  </si>
  <si>
    <t>range.AVSC2 losslG,lossyA,intra.clock1_vox13</t>
    <phoneticPr fontId="5" type="noConversion"/>
  </si>
  <si>
    <t>range.AVSC2 losslG,lossyA,intra.machine_vox12</t>
    <phoneticPr fontId="5" type="noConversion"/>
  </si>
  <si>
    <t>range.AVSC2 losslG,lossyA,intra.mosquito_vox14</t>
    <phoneticPr fontId="5" type="noConversion"/>
  </si>
  <si>
    <t>range.AVSC2 losslG,lossyA,intra.puppet_vox15</t>
    <phoneticPr fontId="5" type="noConversion"/>
  </si>
  <si>
    <t>range.AVSC2 losslG,lossyA,intra.shoes_vox13</t>
    <phoneticPr fontId="5" type="noConversion"/>
  </si>
  <si>
    <t>range.AVSC2 losslG,lossyA,intra.vessel4_vox12</t>
    <phoneticPr fontId="5" type="noConversion"/>
  </si>
  <si>
    <t>range.AVSC2 losslG,lossyA,intra.violin1_vox14</t>
    <phoneticPr fontId="5" type="noConversion"/>
  </si>
  <si>
    <t>'AVSC2 losslG,lossyA,intra'!$A$83:$CQ$88</t>
    <phoneticPr fontId="5" type="noConversion"/>
  </si>
  <si>
    <t>'AVSC2 losslG,lossyA,intra'!$A$89:$CQ$94</t>
    <phoneticPr fontId="5" type="noConversion"/>
  </si>
  <si>
    <t>'AVSC2 losslG,lossyA,intra'!$A$95:$CQ$100</t>
    <phoneticPr fontId="5" type="noConversion"/>
  </si>
  <si>
    <t>'AVSC2 losslG,lossyA,intra'!$A$101:$CQ$106</t>
    <phoneticPr fontId="5" type="noConversion"/>
  </si>
  <si>
    <t>'AVSC2 losslG,lossyA,intra'!$A$107:$CQ$112</t>
    <phoneticPr fontId="5" type="noConversion"/>
  </si>
  <si>
    <t>'AVSC2 losslG,lossyA,intra'!$A$113:$CQ$118</t>
    <phoneticPr fontId="5" type="noConversion"/>
  </si>
  <si>
    <t>'AVSC2 losslG,lossyA,intra'!$A$119:$CQ$124</t>
    <phoneticPr fontId="5" type="noConversion"/>
  </si>
  <si>
    <t>'AVSC2 losslG,lossyA,intra'!$A$125:$CQ$130</t>
    <phoneticPr fontId="5" type="noConversion"/>
  </si>
  <si>
    <t>'AVSC2 losslG,lossyA,intra'!$A$131:$CQ$136</t>
    <phoneticPr fontId="5" type="noConversion"/>
  </si>
  <si>
    <t>'AVSC2 losslG,lossyA,intra'!$A$137:$CQ$142</t>
    <phoneticPr fontId="5" type="noConversion"/>
  </si>
  <si>
    <t>'AVSC2 losslG,lossyA,intra'!$A$143:$CQ$148</t>
    <phoneticPr fontId="5" type="noConversion"/>
  </si>
  <si>
    <t>'AVSC2 losslG,lossyA,intra'!$A$149:$CQ$154</t>
    <phoneticPr fontId="5" type="noConversion"/>
  </si>
  <si>
    <t>'AVSC2 losslG,lossyA,intra'!$A$155:$CQ$160</t>
    <phoneticPr fontId="5" type="noConversion"/>
  </si>
  <si>
    <t>'AVSC2 losslG,lossyA,intra'!$A$161:$CQ$166</t>
    <phoneticPr fontId="5" type="noConversion"/>
  </si>
  <si>
    <t>'AVSC2 losslG,lossyA,intra'!$A$167:$CQ$172</t>
    <phoneticPr fontId="5" type="noConversion"/>
  </si>
  <si>
    <t>'AVSC2 losslG,lossyA,intra'!$A$173:$CQ$178</t>
    <phoneticPr fontId="5" type="noConversion"/>
  </si>
  <si>
    <t>'AVSC2 losslG,lossyA,intra'!$A$179:$CQ$184</t>
    <phoneticPr fontId="5" type="noConversion"/>
  </si>
  <si>
    <t>'AVSC2 losslG,lossyA,intra'!$A$185:$CQ$190</t>
    <phoneticPr fontId="5" type="noConversion"/>
  </si>
  <si>
    <t>'AVSC2 losslG,lossyA,intra'!$A$191:$CQ$196</t>
    <phoneticPr fontId="5" type="noConversion"/>
  </si>
  <si>
    <t>'AVSC2 losslG,lossyA,intra'!$A$197:$CQ$202</t>
    <phoneticPr fontId="5" type="noConversion"/>
  </si>
  <si>
    <t>'AVSC2 losslG,lossyA,intra'!$A$203:$CQ$208</t>
    <phoneticPr fontId="5" type="noConversion"/>
  </si>
  <si>
    <t>'AVSC2 losslG,lossyA,intra'!$A$209:$CQ$214</t>
    <phoneticPr fontId="5" type="noConversion"/>
  </si>
  <si>
    <t>'AVSC2 losslG,lossyA,intra'!$A$215:$CQ$220</t>
    <phoneticPr fontId="5" type="noConversion"/>
  </si>
  <si>
    <t>'AVSC2 losslG,lossyA,intra'!$A$221:$CQ$226</t>
    <phoneticPr fontId="5" type="noConversion"/>
  </si>
  <si>
    <t>'AVSC2 losslG,lossyA,intra'!$A$227:$CQ$232</t>
    <phoneticPr fontId="5" type="noConversion"/>
  </si>
  <si>
    <t>'AVSC2 losslG,lossyA,intra'!$A$233:$CQ$238</t>
    <phoneticPr fontId="5" type="noConversion"/>
  </si>
  <si>
    <t>'AVSC2 losslG,lossyA,intra'!$A$239:$CQ$244</t>
    <phoneticPr fontId="5" type="noConversion"/>
  </si>
  <si>
    <t>range.AVSC3 losslG,limit-lossyA,intra.apollo_vox14</t>
    <phoneticPr fontId="5" type="noConversion"/>
  </si>
  <si>
    <t>range.AVSC3 losslG,limit-lossyA,intra.bicycle_vox13</t>
    <phoneticPr fontId="5" type="noConversion"/>
  </si>
  <si>
    <t>range.AVSC3 losslG,limit-lossyA,intra.building_vox13</t>
    <phoneticPr fontId="5" type="noConversion"/>
  </si>
  <si>
    <t>range.AVSC3 losslG,limit-lossyA,intra.caiman_vox15</t>
    <phoneticPr fontId="5" type="noConversion"/>
  </si>
  <si>
    <t>range.AVSC3 losslG,limit-lossyA,intra.candlestick_vox13</t>
    <phoneticPr fontId="5" type="noConversion"/>
  </si>
  <si>
    <t>range.AVSC3 losslG,limit-lossyA,intra.casket_vox14</t>
    <phoneticPr fontId="5" type="noConversion"/>
  </si>
  <si>
    <t>range.AVSC3 losslG,limit-lossyA,intra.chair_vox12</t>
    <phoneticPr fontId="5" type="noConversion"/>
  </si>
  <si>
    <t>range.AVSC3 losslG,limit-lossyA,intra.clock1_vox13</t>
    <phoneticPr fontId="5" type="noConversion"/>
  </si>
  <si>
    <t>range.AVSC3 losslG,limit-lossyA,intra.machine_vox12</t>
    <phoneticPr fontId="5" type="noConversion"/>
  </si>
  <si>
    <t>range.AVSC3 losslG,limit-lossyA,intra.mosquito_vox14</t>
    <phoneticPr fontId="5" type="noConversion"/>
  </si>
  <si>
    <t>range.AVSC3 losslG,limit-lossyA,intra.puppet_vox15</t>
    <phoneticPr fontId="5" type="noConversion"/>
  </si>
  <si>
    <t>range.AVSC3 losslG,limit-lossyA,intra.shoes_vox13</t>
    <phoneticPr fontId="5" type="noConversion"/>
  </si>
  <si>
    <t>range.AVSC3 losslG,limit-lossyA,intra.vessel4_vox12</t>
    <phoneticPr fontId="5" type="noConversion"/>
  </si>
  <si>
    <t>range.AVSC3 losslG,limit-lossyA,intra.violin1_vox14</t>
    <phoneticPr fontId="5" type="noConversion"/>
  </si>
  <si>
    <t>'AVSC3 losslG,limit-lossyA,intra'!$A$135:$DI$139</t>
    <phoneticPr fontId="5" type="noConversion"/>
  </si>
  <si>
    <t>'AVSC3 losslG,limit-lossyA,intra'!$A$140:$DI$144</t>
    <phoneticPr fontId="5" type="noConversion"/>
  </si>
  <si>
    <t>'AVSC3 losslG,limit-lossyA,intra'!$A$145:$DI$149</t>
    <phoneticPr fontId="5" type="noConversion"/>
  </si>
  <si>
    <t>'AVSC3 losslG,limit-lossyA,intra'!$A$150:$DI$154</t>
    <phoneticPr fontId="5" type="noConversion"/>
  </si>
  <si>
    <t>'AVSC3 losslG,limit-lossyA,intra'!$A$155:$DI$159</t>
    <phoneticPr fontId="5" type="noConversion"/>
  </si>
  <si>
    <t>'AVSC3 losslG,limit-lossyA,intra'!$A$160:$DI$164</t>
    <phoneticPr fontId="5" type="noConversion"/>
  </si>
  <si>
    <t>'AVSC3 losslG,limit-lossyA,intra'!$A$165:$DI$169</t>
    <phoneticPr fontId="5" type="noConversion"/>
  </si>
  <si>
    <t>'AVSC3 losslG,limit-lossyA,intra'!$A$170:$DI$174</t>
    <phoneticPr fontId="5" type="noConversion"/>
  </si>
  <si>
    <t>'AVSC3 losslG,limit-lossyA,intra'!$A$175:$DI$179</t>
    <phoneticPr fontId="5" type="noConversion"/>
  </si>
  <si>
    <t>'AVSC3 losslG,limit-lossyA,intra'!$A$180:$DI$184</t>
    <phoneticPr fontId="5" type="noConversion"/>
  </si>
  <si>
    <t>'AVSC3 losslG,limit-lossyA,intra'!$A$185:$DI$189</t>
    <phoneticPr fontId="5" type="noConversion"/>
  </si>
  <si>
    <t>'AVSC3 losslG,limit-lossyA,intra'!$A$190:$DI$194</t>
    <phoneticPr fontId="5" type="noConversion"/>
  </si>
  <si>
    <t>'AVSC3 losslG,limit-lossyA,intra'!$A$195:$DI$199</t>
    <phoneticPr fontId="5" type="noConversion"/>
  </si>
  <si>
    <t>'AVSC3 losslG,limit-lossyA,intra'!$A$200:$DI$204</t>
    <phoneticPr fontId="5" type="noConversion"/>
  </si>
  <si>
    <t>range.AVSC4 losslG,losslA,intra.apollo_vox14</t>
    <phoneticPr fontId="5" type="noConversion"/>
  </si>
  <si>
    <t>range.AVSC4 losslG,losslA,intra.bicycle_vox13</t>
    <phoneticPr fontId="5" type="noConversion"/>
  </si>
  <si>
    <t>range.AVSC4 losslG,losslA,intra.building_vox13</t>
    <phoneticPr fontId="5" type="noConversion"/>
  </si>
  <si>
    <t>range.AVSC4 losslG,losslA,intra.caiman_vox15</t>
    <phoneticPr fontId="5" type="noConversion"/>
  </si>
  <si>
    <t>range.AVSC4 losslG,losslA,intra.candlestick_vox13</t>
    <phoneticPr fontId="5" type="noConversion"/>
  </si>
  <si>
    <t>range.AVSC4 losslG,losslA,intra.casket_vox14</t>
    <phoneticPr fontId="5" type="noConversion"/>
  </si>
  <si>
    <t>range.AVSC4 losslG,losslA,intra.chair_vox12</t>
    <phoneticPr fontId="5" type="noConversion"/>
  </si>
  <si>
    <t>range.AVSC4 losslG,losslA,intra.clock1_vox13</t>
    <phoneticPr fontId="5" type="noConversion"/>
  </si>
  <si>
    <t>range.AVSC4 losslG,losslA,intra.machine_vox12</t>
    <phoneticPr fontId="5" type="noConversion"/>
  </si>
  <si>
    <t>range.AVSC4 losslG,losslA,intra.mosquito_vox14</t>
    <phoneticPr fontId="5" type="noConversion"/>
  </si>
  <si>
    <t>range.AVSC4 losslG,losslA,intra.puppet_vox15</t>
    <phoneticPr fontId="5" type="noConversion"/>
  </si>
  <si>
    <t>range.AVSC4 losslG,losslA,intra.shoes_vox13</t>
    <phoneticPr fontId="5" type="noConversion"/>
  </si>
  <si>
    <t>range.AVSC4 losslG,losslA,intra.vessel4_vox12</t>
    <phoneticPr fontId="5" type="noConversion"/>
  </si>
  <si>
    <t>range.AVSC4 losslG,losslA,intra.violin1_vox14</t>
    <phoneticPr fontId="5" type="noConversion"/>
  </si>
  <si>
    <t>'AVSC4 losslG,losslA,intra'!$A$31:$CB$31</t>
    <phoneticPr fontId="5" type="noConversion"/>
  </si>
  <si>
    <t>'AVSC4 losslG,losslA,intra'!$A$32:$CB$32</t>
    <phoneticPr fontId="5" type="noConversion"/>
  </si>
  <si>
    <t>'AVSC4 losslG,losslA,intra'!$A$33:$CB$33</t>
    <phoneticPr fontId="5" type="noConversion"/>
  </si>
  <si>
    <t>'AVSC4 losslG,losslA,intra'!$A$34:$CB$34</t>
    <phoneticPr fontId="5" type="noConversion"/>
  </si>
  <si>
    <t>'AVSC4 losslG,losslA,intra'!$A$35:$CB$35</t>
    <phoneticPr fontId="5" type="noConversion"/>
  </si>
  <si>
    <t>'AVSC4 losslG,losslA,intra'!$A$36:$CB$36</t>
    <phoneticPr fontId="5" type="noConversion"/>
  </si>
  <si>
    <t>'AVSC4 losslG,losslA,intra'!$A$37:$CB$37</t>
    <phoneticPr fontId="5" type="noConversion"/>
  </si>
  <si>
    <t>'AVSC4 losslG,losslA,intra'!$A$38:$CB$38</t>
    <phoneticPr fontId="5" type="noConversion"/>
  </si>
  <si>
    <t>'AVSC4 losslG,losslA,intra'!$A$39:$CB$39</t>
    <phoneticPr fontId="5" type="noConversion"/>
  </si>
  <si>
    <t>'AVSC4 losslG,losslA,intra'!$A$40:$CB$40</t>
    <phoneticPr fontId="5" type="noConversion"/>
  </si>
  <si>
    <t>'AVSC4 losslG,losslA,intra'!$A$41:$CB$41</t>
    <phoneticPr fontId="5" type="noConversion"/>
  </si>
  <si>
    <t>'AVSC4 losslG,losslA,intra'!$A$42:$CB$42</t>
    <phoneticPr fontId="5" type="noConversion"/>
  </si>
  <si>
    <t>'AVSC4 losslG,losslA,intra'!$A$43:$CB$43</t>
    <phoneticPr fontId="5" type="noConversion"/>
  </si>
  <si>
    <t>'AVSC4 losslG,losslA,intra'!$A$44:$CB$44</t>
    <phoneticPr fontId="5" type="noConversion"/>
  </si>
  <si>
    <t>Attribute precision [bits]</t>
  </si>
  <si>
    <t>Attribute</t>
  </si>
  <si>
    <t>Attr PSNR/SSIM</t>
  </si>
  <si>
    <t>RGB-PSNR</t>
  </si>
  <si>
    <t>YUV-PSNR</t>
  </si>
  <si>
    <t>YUV-SSIM</t>
  </si>
  <si>
    <t>bartender</t>
  </si>
  <si>
    <t>cinema</t>
  </si>
  <si>
    <t>Attr Encoder runtime [s]</t>
  </si>
  <si>
    <t>Attr Decoder runtime [s]</t>
  </si>
  <si>
    <t>SH 0</t>
  </si>
  <si>
    <t>SH1</t>
  </si>
  <si>
    <t>SH2</t>
  </si>
  <si>
    <t>SH3</t>
  </si>
  <si>
    <t>Rotation</t>
  </si>
  <si>
    <t>Scaling</t>
  </si>
  <si>
    <t>Opacity</t>
  </si>
  <si>
    <t>Ref</t>
  </si>
  <si>
    <t>Anchor</t>
  </si>
  <si>
    <t>Test</t>
  </si>
  <si>
    <t>Anchor:</t>
  </si>
  <si>
    <t>Test:</t>
  </si>
  <si>
    <t xml:space="preserve">BD-rate </t>
  </si>
  <si>
    <t xml:space="preserve"> </t>
  </si>
  <si>
    <t>Distortion</t>
  </si>
  <si>
    <t>BD-rate</t>
  </si>
  <si>
    <t xml:space="preserve">  </t>
  </si>
  <si>
    <t>%</t>
  </si>
  <si>
    <t>RGB-PSNR</t>
    <phoneticPr fontId="12" type="noConversion"/>
  </si>
  <si>
    <t>Test point</t>
  </si>
  <si>
    <t>Delta</t>
  </si>
  <si>
    <t>r05</t>
    <phoneticPr fontId="12" type="noConversion"/>
  </si>
  <si>
    <t>Bits</t>
  </si>
  <si>
    <t>No output points</t>
  </si>
  <si>
    <t>No input points</t>
  </si>
  <si>
    <t>photo</t>
  </si>
  <si>
    <t>toy</t>
  </si>
  <si>
    <t>bicycle</t>
  </si>
  <si>
    <t>garden</t>
  </si>
  <si>
    <t>rocket</t>
  </si>
  <si>
    <t>alley</t>
  </si>
  <si>
    <t>User Encoder runtime</t>
    <phoneticPr fontId="5" type="noConversion"/>
  </si>
  <si>
    <t>User Decoder runtime</t>
    <phoneticPr fontId="5" type="noConversion"/>
  </si>
  <si>
    <t>Geom Encoder runtime</t>
    <phoneticPr fontId="5" type="noConversion"/>
  </si>
  <si>
    <t>Geom Decoder runtime</t>
    <phoneticPr fontId="5" type="noConversion"/>
  </si>
  <si>
    <t>Attr Encoder runtime [s]</t>
    <phoneticPr fontId="5" type="noConversion"/>
  </si>
  <si>
    <t>Attr Encoder runtime</t>
    <phoneticPr fontId="5" type="noConversion"/>
  </si>
  <si>
    <t>Attr Decoder runtime [s]</t>
    <phoneticPr fontId="5" type="noConversion"/>
  </si>
  <si>
    <t>Attr Decoder runtime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</si>
</sst>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"/>
  </numFmts>
  <fonts count="20" x14ac:knownFonts="1"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2"/>
      <charset val="129"/>
      <scheme val="minor"/>
    </font>
    <font>
      <b/>
      <sz val="9"/>
      <color indexed="8"/>
      <name val="Arial"/>
      <family val="2"/>
    </font>
    <font>
      <sz val="12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2"/>
      <color rgb="FF9C0006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b/>
      <sz val="1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theme="1"/>
      <name val="宋体"/>
      <family val="3"/>
      <charset val="129"/>
      <scheme val="minor"/>
    </font>
    <font>
      <sz val="12"/>
      <color indexed="8"/>
      <name val="宋体"/>
      <family val="2"/>
      <scheme val="minor"/>
    </font>
    <font>
      <sz val="9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599963377788628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4">
    <xf numFmtId="0" fontId="0" fillId="0" borderId="0"/>
    <xf numFmtId="0" fontId="6" fillId="0" borderId="0"/>
    <xf numFmtId="9" fontId="8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86">
    <xf numFmtId="0" fontId="0" fillId="0" borderId="0" xfId="0"/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quotePrefix="1"/>
    <xf numFmtId="0" fontId="9" fillId="0" borderId="0" xfId="0" applyFont="1"/>
    <xf numFmtId="0" fontId="10" fillId="0" borderId="0" xfId="0" applyFont="1"/>
    <xf numFmtId="0" fontId="4" fillId="5" borderId="8" xfId="0" applyFont="1" applyFill="1" applyBorder="1" applyAlignment="1">
      <alignment horizontal="center" wrapText="1"/>
    </xf>
    <xf numFmtId="0" fontId="4" fillId="4" borderId="8" xfId="0" applyFont="1" applyFill="1" applyBorder="1" applyAlignment="1">
      <alignment horizontal="center" wrapText="1"/>
    </xf>
    <xf numFmtId="0" fontId="10" fillId="0" borderId="0" xfId="0" quotePrefix="1" applyFont="1" applyAlignment="1">
      <alignment horizontal="left"/>
    </xf>
    <xf numFmtId="0" fontId="4" fillId="0" borderId="10" xfId="0" applyFont="1" applyBorder="1" applyAlignment="1">
      <alignment horizontal="center" wrapText="1"/>
    </xf>
    <xf numFmtId="1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5" fillId="0" borderId="8" xfId="0" applyFont="1" applyBorder="1" applyAlignment="1">
      <alignment horizontal="center" wrapText="1"/>
    </xf>
    <xf numFmtId="0" fontId="15" fillId="0" borderId="10" xfId="0" applyFont="1" applyBorder="1" applyAlignment="1">
      <alignment horizontal="center" wrapText="1"/>
    </xf>
    <xf numFmtId="176" fontId="9" fillId="0" borderId="6" xfId="0" applyNumberFormat="1" applyFont="1" applyBorder="1" applyAlignment="1">
      <alignment horizontal="center"/>
    </xf>
    <xf numFmtId="176" fontId="9" fillId="0" borderId="4" xfId="0" applyNumberFormat="1" applyFont="1" applyBorder="1" applyAlignment="1">
      <alignment horizontal="center"/>
    </xf>
    <xf numFmtId="0" fontId="7" fillId="0" borderId="0" xfId="1" applyFont="1"/>
    <xf numFmtId="0" fontId="0" fillId="0" borderId="19" xfId="0" applyBorder="1" applyAlignment="1">
      <alignment horizontal="left" vertical="center"/>
    </xf>
    <xf numFmtId="176" fontId="9" fillId="0" borderId="5" xfId="0" applyNumberFormat="1" applyFont="1" applyBorder="1" applyAlignment="1">
      <alignment horizontal="center"/>
    </xf>
    <xf numFmtId="176" fontId="9" fillId="0" borderId="7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16" fillId="0" borderId="0" xfId="0" applyFont="1"/>
    <xf numFmtId="0" fontId="0" fillId="0" borderId="16" xfId="0" applyBorder="1" applyAlignment="1">
      <alignment horizontal="center"/>
    </xf>
    <xf numFmtId="0" fontId="3" fillId="0" borderId="0" xfId="0" applyFont="1"/>
    <xf numFmtId="177" fontId="0" fillId="0" borderId="0" xfId="0" applyNumberFormat="1"/>
    <xf numFmtId="9" fontId="0" fillId="0" borderId="0" xfId="3" applyFont="1"/>
    <xf numFmtId="0" fontId="13" fillId="0" borderId="12" xfId="0" applyFont="1" applyBorder="1" applyAlignment="1">
      <alignment horizontal="center"/>
    </xf>
    <xf numFmtId="0" fontId="13" fillId="0" borderId="0" xfId="0" applyFont="1"/>
    <xf numFmtId="0" fontId="3" fillId="0" borderId="1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176" fontId="18" fillId="0" borderId="12" xfId="0" applyNumberFormat="1" applyFont="1" applyBorder="1" applyAlignment="1">
      <alignment horizontal="center" vertical="center"/>
    </xf>
    <xf numFmtId="2" fontId="0" fillId="0" borderId="13" xfId="0" applyNumberFormat="1" applyBorder="1" applyAlignment="1">
      <alignment horizontal="center"/>
    </xf>
    <xf numFmtId="2" fontId="18" fillId="0" borderId="17" xfId="0" applyNumberFormat="1" applyFont="1" applyBorder="1" applyAlignment="1">
      <alignment horizontal="center"/>
    </xf>
    <xf numFmtId="176" fontId="18" fillId="0" borderId="0" xfId="0" applyNumberFormat="1" applyFont="1" applyAlignment="1">
      <alignment vertical="center"/>
    </xf>
    <xf numFmtId="2" fontId="0" fillId="0" borderId="0" xfId="0" applyNumberFormat="1"/>
    <xf numFmtId="2" fontId="18" fillId="0" borderId="0" xfId="0" applyNumberFormat="1" applyFont="1"/>
    <xf numFmtId="176" fontId="18" fillId="0" borderId="0" xfId="0" applyNumberFormat="1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14" fillId="0" borderId="16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8" fillId="0" borderId="15" xfId="0" applyNumberFormat="1" applyFont="1" applyBorder="1" applyAlignment="1">
      <alignment horizontal="center"/>
    </xf>
    <xf numFmtId="2" fontId="14" fillId="0" borderId="0" xfId="0" applyNumberFormat="1" applyFont="1" applyAlignment="1">
      <alignment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14" fillId="0" borderId="18" xfId="0" applyNumberFormat="1" applyFont="1" applyBorder="1" applyAlignment="1">
      <alignment horizontal="center" vertical="center"/>
    </xf>
    <xf numFmtId="2" fontId="14" fillId="0" borderId="19" xfId="0" applyNumberFormat="1" applyFont="1" applyBorder="1" applyAlignment="1">
      <alignment horizontal="center"/>
    </xf>
    <xf numFmtId="2" fontId="14" fillId="0" borderId="2" xfId="0" applyNumberFormat="1" applyFont="1" applyBorder="1" applyAlignment="1">
      <alignment horizontal="center"/>
    </xf>
    <xf numFmtId="2" fontId="18" fillId="0" borderId="20" xfId="0" applyNumberFormat="1" applyFont="1" applyBorder="1" applyAlignment="1">
      <alignment horizontal="center"/>
    </xf>
    <xf numFmtId="2" fontId="14" fillId="0" borderId="0" xfId="0" applyNumberFormat="1" applyFont="1"/>
    <xf numFmtId="2" fontId="14" fillId="0" borderId="0" xfId="0" applyNumberFormat="1" applyFont="1" applyAlignment="1">
      <alignment horizontal="center" vertical="center"/>
    </xf>
    <xf numFmtId="2" fontId="14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 vertical="center"/>
    </xf>
    <xf numFmtId="1" fontId="13" fillId="0" borderId="17" xfId="0" applyNumberFormat="1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14" fontId="3" fillId="0" borderId="13" xfId="0" applyNumberFormat="1" applyFont="1" applyBorder="1" applyAlignment="1">
      <alignment horizontal="center"/>
    </xf>
    <xf numFmtId="14" fontId="3" fillId="0" borderId="0" xfId="0" applyNumberFormat="1" applyFont="1" applyAlignment="1">
      <alignment horizontal="center"/>
    </xf>
    <xf numFmtId="10" fontId="15" fillId="0" borderId="8" xfId="0" applyNumberFormat="1" applyFont="1" applyBorder="1" applyAlignment="1">
      <alignment horizontal="center" wrapText="1"/>
    </xf>
    <xf numFmtId="10" fontId="15" fillId="0" borderId="10" xfId="0" applyNumberFormat="1" applyFont="1" applyBorder="1" applyAlignment="1">
      <alignment horizontal="center" wrapText="1"/>
    </xf>
    <xf numFmtId="10" fontId="9" fillId="0" borderId="4" xfId="0" applyNumberFormat="1" applyFont="1" applyBorder="1" applyAlignment="1">
      <alignment horizontal="center"/>
    </xf>
    <xf numFmtId="10" fontId="9" fillId="0" borderId="6" xfId="0" applyNumberFormat="1" applyFont="1" applyBorder="1" applyAlignment="1">
      <alignment horizontal="center"/>
    </xf>
    <xf numFmtId="10" fontId="9" fillId="0" borderId="0" xfId="0" applyNumberFormat="1" applyFont="1"/>
    <xf numFmtId="10" fontId="4" fillId="0" borderId="0" xfId="0" applyNumberFormat="1" applyFont="1" applyAlignment="1">
      <alignment wrapText="1"/>
    </xf>
    <xf numFmtId="0" fontId="4" fillId="0" borderId="22" xfId="0" applyFont="1" applyBorder="1" applyAlignment="1">
      <alignment horizontal="center" wrapText="1"/>
    </xf>
    <xf numFmtId="0" fontId="15" fillId="0" borderId="9" xfId="0" applyFont="1" applyBorder="1" applyAlignment="1">
      <alignment horizontal="center" wrapText="1"/>
    </xf>
    <xf numFmtId="3" fontId="4" fillId="0" borderId="22" xfId="0" applyNumberFormat="1" applyFont="1" applyBorder="1" applyAlignment="1">
      <alignment horizontal="right" wrapText="1"/>
    </xf>
    <xf numFmtId="3" fontId="0" fillId="0" borderId="0" xfId="0" applyNumberFormat="1" applyAlignment="1">
      <alignment horizontal="right"/>
    </xf>
    <xf numFmtId="3" fontId="4" fillId="5" borderId="8" xfId="0" applyNumberFormat="1" applyFont="1" applyFill="1" applyBorder="1" applyAlignment="1">
      <alignment horizontal="right" wrapText="1"/>
    </xf>
    <xf numFmtId="10" fontId="13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0" fontId="18" fillId="0" borderId="12" xfId="0" applyNumberFormat="1" applyFont="1" applyBorder="1" applyAlignment="1">
      <alignment horizontal="center" vertical="center"/>
    </xf>
    <xf numFmtId="10" fontId="18" fillId="0" borderId="18" xfId="0" applyNumberFormat="1" applyFont="1" applyBorder="1" applyAlignment="1">
      <alignment horizontal="center" vertical="center"/>
    </xf>
    <xf numFmtId="10" fontId="0" fillId="0" borderId="1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left" vertical="center"/>
    </xf>
    <xf numFmtId="3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15" xfId="0" applyBorder="1"/>
    <xf numFmtId="0" fontId="0" fillId="0" borderId="13" xfId="0" applyBorder="1" applyAlignment="1">
      <alignment horizontal="left" vertical="center"/>
    </xf>
    <xf numFmtId="3" fontId="0" fillId="0" borderId="0" xfId="0" applyNumberFormat="1" applyAlignment="1">
      <alignment horizontal="right" vertical="center"/>
    </xf>
    <xf numFmtId="0" fontId="0" fillId="0" borderId="17" xfId="0" applyBorder="1"/>
    <xf numFmtId="0" fontId="0" fillId="0" borderId="2" xfId="0" applyBorder="1" applyAlignment="1">
      <alignment horizontal="center"/>
    </xf>
    <xf numFmtId="3" fontId="0" fillId="0" borderId="2" xfId="0" applyNumberFormat="1" applyBorder="1" applyAlignment="1">
      <alignment horizontal="right" vertical="center"/>
    </xf>
    <xf numFmtId="0" fontId="0" fillId="0" borderId="2" xfId="0" applyBorder="1"/>
    <xf numFmtId="0" fontId="0" fillId="0" borderId="20" xfId="0" applyBorder="1"/>
    <xf numFmtId="3" fontId="0" fillId="0" borderId="1" xfId="0" applyNumberFormat="1" applyBorder="1" applyAlignment="1">
      <alignment horizontal="right"/>
    </xf>
    <xf numFmtId="3" fontId="0" fillId="0" borderId="2" xfId="0" applyNumberFormat="1" applyBorder="1" applyAlignment="1">
      <alignment horizontal="right"/>
    </xf>
    <xf numFmtId="10" fontId="9" fillId="0" borderId="29" xfId="0" applyNumberFormat="1" applyFont="1" applyBorder="1" applyAlignment="1">
      <alignment horizontal="center"/>
    </xf>
    <xf numFmtId="176" fontId="9" fillId="0" borderId="29" xfId="0" applyNumberFormat="1" applyFont="1" applyBorder="1" applyAlignment="1">
      <alignment horizontal="center"/>
    </xf>
    <xf numFmtId="176" fontId="9" fillId="0" borderId="30" xfId="0" applyNumberFormat="1" applyFont="1" applyBorder="1" applyAlignment="1">
      <alignment horizontal="center"/>
    </xf>
    <xf numFmtId="0" fontId="0" fillId="0" borderId="13" xfId="0" applyBorder="1"/>
    <xf numFmtId="0" fontId="0" fillId="0" borderId="19" xfId="0" applyBorder="1"/>
    <xf numFmtId="0" fontId="0" fillId="0" borderId="14" xfId="0" applyBorder="1"/>
    <xf numFmtId="10" fontId="9" fillId="0" borderId="3" xfId="0" applyNumberFormat="1" applyFont="1" applyBorder="1" applyAlignment="1">
      <alignment horizontal="center"/>
    </xf>
    <xf numFmtId="10" fontId="9" fillId="0" borderId="31" xfId="0" applyNumberFormat="1" applyFont="1" applyBorder="1" applyAlignment="1">
      <alignment horizontal="center"/>
    </xf>
    <xf numFmtId="10" fontId="9" fillId="0" borderId="32" xfId="0" applyNumberFormat="1" applyFont="1" applyBorder="1" applyAlignment="1">
      <alignment horizontal="center"/>
    </xf>
    <xf numFmtId="10" fontId="9" fillId="0" borderId="28" xfId="0" applyNumberFormat="1" applyFont="1" applyBorder="1" applyAlignment="1">
      <alignment horizontal="center"/>
    </xf>
    <xf numFmtId="176" fontId="9" fillId="0" borderId="8" xfId="0" applyNumberFormat="1" applyFont="1" applyBorder="1" applyAlignment="1">
      <alignment horizontal="center"/>
    </xf>
    <xf numFmtId="176" fontId="9" fillId="0" borderId="9" xfId="0" applyNumberFormat="1" applyFont="1" applyBorder="1" applyAlignment="1">
      <alignment horizontal="center"/>
    </xf>
    <xf numFmtId="3" fontId="0" fillId="0" borderId="1" xfId="0" applyNumberFormat="1" applyBorder="1"/>
    <xf numFmtId="3" fontId="0" fillId="0" borderId="0" xfId="0" applyNumberFormat="1"/>
    <xf numFmtId="3" fontId="0" fillId="0" borderId="2" xfId="0" applyNumberFormat="1" applyBorder="1"/>
    <xf numFmtId="3" fontId="4" fillId="4" borderId="11" xfId="0" applyNumberFormat="1" applyFont="1" applyFill="1" applyBorder="1" applyAlignment="1">
      <alignment horizontal="center" wrapText="1"/>
    </xf>
    <xf numFmtId="3" fontId="4" fillId="0" borderId="22" xfId="0" applyNumberFormat="1" applyFont="1" applyBorder="1" applyAlignment="1">
      <alignment horizontal="center" wrapText="1"/>
    </xf>
    <xf numFmtId="0" fontId="4" fillId="3" borderId="0" xfId="0" applyFont="1" applyFill="1" applyAlignment="1">
      <alignment horizontal="left" wrapText="1"/>
    </xf>
    <xf numFmtId="0" fontId="4" fillId="4" borderId="0" xfId="0" applyFont="1" applyFill="1" applyAlignment="1">
      <alignment horizontal="left" wrapText="1"/>
    </xf>
    <xf numFmtId="10" fontId="19" fillId="7" borderId="35" xfId="0" applyNumberFormat="1" applyFont="1" applyFill="1" applyBorder="1" applyAlignment="1">
      <alignment horizontal="center" vertical="center"/>
    </xf>
    <xf numFmtId="10" fontId="19" fillId="7" borderId="36" xfId="0" applyNumberFormat="1" applyFont="1" applyFill="1" applyBorder="1" applyAlignment="1">
      <alignment horizontal="center" vertical="center"/>
    </xf>
    <xf numFmtId="0" fontId="19" fillId="7" borderId="14" xfId="0" applyFont="1" applyFill="1" applyBorder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10" fontId="19" fillId="0" borderId="15" xfId="0" applyNumberFormat="1" applyFont="1" applyBorder="1" applyAlignment="1">
      <alignment horizontal="center" vertical="center"/>
    </xf>
    <xf numFmtId="0" fontId="19" fillId="7" borderId="13" xfId="0" applyFont="1" applyFill="1" applyBorder="1" applyAlignment="1">
      <alignment horizontal="center" vertical="center"/>
    </xf>
    <xf numFmtId="10" fontId="19" fillId="0" borderId="17" xfId="0" applyNumberFormat="1" applyFont="1" applyBorder="1" applyAlignment="1">
      <alignment horizontal="center" vertical="center"/>
    </xf>
    <xf numFmtId="0" fontId="19" fillId="7" borderId="34" xfId="0" applyFont="1" applyFill="1" applyBorder="1" applyAlignment="1">
      <alignment horizontal="center" vertical="center"/>
    </xf>
    <xf numFmtId="10" fontId="19" fillId="0" borderId="33" xfId="0" applyNumberFormat="1" applyFont="1" applyBorder="1" applyAlignment="1">
      <alignment horizontal="center" vertical="center"/>
    </xf>
    <xf numFmtId="10" fontId="19" fillId="0" borderId="35" xfId="0" applyNumberFormat="1" applyFont="1" applyBorder="1" applyAlignment="1">
      <alignment horizontal="center" vertical="center"/>
    </xf>
    <xf numFmtId="0" fontId="19" fillId="7" borderId="36" xfId="0" applyFont="1" applyFill="1" applyBorder="1" applyAlignment="1">
      <alignment horizontal="center" vertical="center"/>
    </xf>
    <xf numFmtId="10" fontId="19" fillId="7" borderId="35" xfId="0" applyNumberFormat="1" applyFont="1" applyFill="1" applyBorder="1" applyAlignment="1">
      <alignment horizontal="center" vertical="center"/>
    </xf>
    <xf numFmtId="10" fontId="19" fillId="7" borderId="36" xfId="0" applyNumberFormat="1" applyFont="1" applyFill="1" applyBorder="1" applyAlignment="1">
      <alignment horizontal="center" vertical="center"/>
    </xf>
    <xf numFmtId="10" fontId="4" fillId="3" borderId="0" xfId="0" applyNumberFormat="1" applyFont="1" applyFill="1" applyAlignment="1">
      <alignment horizontal="left" vertical="center" wrapText="1"/>
    </xf>
    <xf numFmtId="10" fontId="4" fillId="4" borderId="0" xfId="0" applyNumberFormat="1" applyFont="1" applyFill="1" applyAlignment="1">
      <alignment horizontal="left" vertical="center" wrapText="1"/>
    </xf>
    <xf numFmtId="0" fontId="19" fillId="7" borderId="36" xfId="0" applyFont="1" applyFill="1" applyBorder="1" applyAlignment="1">
      <alignment horizontal="center" vertical="center" wrapText="1"/>
    </xf>
    <xf numFmtId="0" fontId="1" fillId="6" borderId="14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13" fillId="0" borderId="1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7" xfId="0" applyBorder="1" applyAlignment="1">
      <alignment horizontal="center"/>
    </xf>
    <xf numFmtId="0" fontId="2" fillId="6" borderId="14" xfId="0" applyFont="1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6" borderId="0" xfId="0" applyNumberFormat="1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5" fillId="0" borderId="21" xfId="0" applyFont="1" applyBorder="1" applyAlignment="1">
      <alignment horizontal="center" wrapText="1"/>
    </xf>
    <xf numFmtId="0" fontId="15" fillId="0" borderId="25" xfId="0" applyFont="1" applyBorder="1" applyAlignment="1">
      <alignment horizontal="center" wrapText="1"/>
    </xf>
    <xf numFmtId="0" fontId="15" fillId="0" borderId="27" xfId="0" applyFont="1" applyBorder="1" applyAlignment="1">
      <alignment horizontal="center" wrapText="1"/>
    </xf>
    <xf numFmtId="0" fontId="15" fillId="0" borderId="23" xfId="0" applyFont="1" applyBorder="1" applyAlignment="1">
      <alignment horizontal="center"/>
    </xf>
    <xf numFmtId="0" fontId="15" fillId="0" borderId="0" xfId="0" applyFont="1" applyAlignment="1">
      <alignment horizontal="center"/>
    </xf>
    <xf numFmtId="3" fontId="4" fillId="5" borderId="24" xfId="0" applyNumberFormat="1" applyFont="1" applyFill="1" applyBorder="1" applyAlignment="1">
      <alignment horizontal="center" wrapText="1"/>
    </xf>
    <xf numFmtId="3" fontId="4" fillId="5" borderId="25" xfId="0" applyNumberFormat="1" applyFont="1" applyFill="1" applyBorder="1" applyAlignment="1">
      <alignment horizontal="center" wrapText="1"/>
    </xf>
    <xf numFmtId="3" fontId="4" fillId="5" borderId="26" xfId="0" applyNumberFormat="1" applyFont="1" applyFill="1" applyBorder="1" applyAlignment="1">
      <alignment horizontal="center" wrapText="1"/>
    </xf>
    <xf numFmtId="3" fontId="4" fillId="4" borderId="24" xfId="0" applyNumberFormat="1" applyFont="1" applyFill="1" applyBorder="1" applyAlignment="1">
      <alignment horizontal="center" wrapText="1"/>
    </xf>
    <xf numFmtId="3" fontId="4" fillId="4" borderId="25" xfId="0" applyNumberFormat="1" applyFont="1" applyFill="1" applyBorder="1" applyAlignment="1">
      <alignment horizontal="center" wrapText="1"/>
    </xf>
    <xf numFmtId="3" fontId="4" fillId="4" borderId="26" xfId="0" applyNumberFormat="1" applyFont="1" applyFill="1" applyBorder="1" applyAlignment="1">
      <alignment horizontal="center" wrapText="1"/>
    </xf>
    <xf numFmtId="3" fontId="4" fillId="4" borderId="4" xfId="0" applyNumberFormat="1" applyFont="1" applyFill="1" applyBorder="1" applyAlignment="1">
      <alignment horizontal="center" wrapText="1"/>
    </xf>
    <xf numFmtId="3" fontId="4" fillId="4" borderId="8" xfId="0" applyNumberFormat="1" applyFont="1" applyFill="1" applyBorder="1" applyAlignment="1">
      <alignment horizontal="center" wrapText="1"/>
    </xf>
    <xf numFmtId="0" fontId="4" fillId="4" borderId="4" xfId="0" applyFont="1" applyFill="1" applyBorder="1" applyAlignment="1">
      <alignment horizontal="center" vertical="top" wrapText="1"/>
    </xf>
    <xf numFmtId="0" fontId="4" fillId="4" borderId="8" xfId="0" applyFont="1" applyFill="1" applyBorder="1" applyAlignment="1">
      <alignment horizontal="center" vertical="top" wrapText="1"/>
    </xf>
    <xf numFmtId="0" fontId="4" fillId="5" borderId="4" xfId="0" applyFont="1" applyFill="1" applyBorder="1" applyAlignment="1">
      <alignment horizontal="center" vertical="top" wrapText="1"/>
    </xf>
    <xf numFmtId="0" fontId="4" fillId="5" borderId="8" xfId="0" applyFont="1" applyFill="1" applyBorder="1" applyAlignment="1">
      <alignment horizontal="center" vertical="top" wrapText="1"/>
    </xf>
    <xf numFmtId="0" fontId="4" fillId="5" borderId="4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vertical="top"/>
    </xf>
    <xf numFmtId="0" fontId="4" fillId="5" borderId="22" xfId="0" applyFont="1" applyFill="1" applyBorder="1" applyAlignment="1">
      <alignment horizontal="center" wrapText="1"/>
    </xf>
    <xf numFmtId="0" fontId="4" fillId="4" borderId="22" xfId="0" applyFont="1" applyFill="1" applyBorder="1" applyAlignment="1">
      <alignment horizontal="center" wrapText="1"/>
    </xf>
    <xf numFmtId="0" fontId="4" fillId="4" borderId="4" xfId="0" applyFont="1" applyFill="1" applyBorder="1" applyAlignment="1">
      <alignment horizontal="center" wrapText="1"/>
    </xf>
    <xf numFmtId="0" fontId="4" fillId="2" borderId="3" xfId="0" applyFont="1" applyFill="1" applyBorder="1" applyAlignment="1">
      <alignment horizontal="center" wrapText="1"/>
    </xf>
    <xf numFmtId="0" fontId="4" fillId="2" borderId="28" xfId="0" applyFont="1" applyFill="1" applyBorder="1" applyAlignment="1">
      <alignment horizontal="center" wrapText="1"/>
    </xf>
    <xf numFmtId="0" fontId="4" fillId="2" borderId="4" xfId="0" applyFont="1" applyFill="1" applyBorder="1" applyAlignment="1">
      <alignment horizontal="center" wrapText="1"/>
    </xf>
    <xf numFmtId="0" fontId="4" fillId="2" borderId="8" xfId="0" applyFont="1" applyFill="1" applyBorder="1" applyAlignment="1">
      <alignment horizontal="center" wrapText="1"/>
    </xf>
    <xf numFmtId="3" fontId="4" fillId="5" borderId="4" xfId="0" applyNumberFormat="1" applyFont="1" applyFill="1" applyBorder="1" applyAlignment="1">
      <alignment horizontal="center" wrapText="1"/>
    </xf>
    <xf numFmtId="3" fontId="4" fillId="5" borderId="8" xfId="0" applyNumberFormat="1" applyFont="1" applyFill="1" applyBorder="1" applyAlignment="1">
      <alignment horizontal="center" wrapText="1"/>
    </xf>
    <xf numFmtId="3" fontId="4" fillId="2" borderId="22" xfId="0" applyNumberFormat="1" applyFont="1" applyFill="1" applyBorder="1" applyAlignment="1">
      <alignment horizontal="center" wrapText="1"/>
    </xf>
    <xf numFmtId="3" fontId="4" fillId="2" borderId="11" xfId="0" applyNumberFormat="1" applyFont="1" applyFill="1" applyBorder="1" applyAlignment="1">
      <alignment horizontal="center" wrapText="1"/>
    </xf>
  </cellXfs>
  <cellStyles count="4">
    <cellStyle name="百分比" xfId="3" builtinId="5"/>
    <cellStyle name="百分比 2" xfId="2" xr:uid="{00000000-0005-0000-0000-000001000000}"/>
    <cellStyle name="常规" xfId="0" builtinId="0"/>
    <cellStyle name="常规 2" xfId="1" xr:uid="{00000000-0005-0000-0000-000003000000}"/>
  </cellStyles>
  <dxfs count="182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FF00"/>
      <color rgb="FFFF0000"/>
      <color rgb="FFE6B8B7"/>
      <color rgb="FFB8CCE4"/>
      <color rgb="FFFFFFFF"/>
      <color rgb="FFD8E4BC"/>
      <color rgb="FFB4FFB4"/>
      <color rgb="FFAAFFAA"/>
      <color rgb="FFAAF0AA"/>
      <color rgb="FFA0FA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Plot!$D$7:$D$11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FD-E740-BC84-E434F97233A1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Plot!$H$7:$H$11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FD-E740-BC84-E434F9723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Plot!$D$18:$D$22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4C-B24F-B774-5AAD8005FB8D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Plot!$H$18:$H$22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4C-B24F-B774-5AAD8005F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Plot!$D$29:$D$33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13-084D-8E95-636AD93A26E6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Plot!$H$29:$H$33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13-084D-8E95-636AD93A2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Plot!$D$40:$D$44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BC-554C-A2B6-99F39CBAA42E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Plot!$H$40:$H$44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BC-554C-A2B6-99F39CBAA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Plot!$D$51:$D$55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B3-D44A-85FE-60458F8CC627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Plot!$H$51:$H$55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B3-D44A-85FE-60458F8CC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Plot!$D$62:$D$66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2B-2841-815E-6810D2997A09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Plot!$H$62:$H$66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2B-2841-815E-6810D2997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Plot!$D$73:$D$77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81-D64C-A9FD-D41609414164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Plot!$H$73:$H$77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81-D64C-A9FD-D41609414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Plot!$B$2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Plot!$D$84:$D$88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CC-F946-A224-6369C0B62F40}"/>
            </c:ext>
          </c:extLst>
        </c:ser>
        <c:ser>
          <c:idx val="1"/>
          <c:order val="1"/>
          <c:tx>
            <c:strRef>
              <c:f>Plot!$F$2</c:f>
              <c:strCache>
                <c:ptCount val="1"/>
                <c:pt idx="0">
                  <c:v>1900/1/0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Plot!$H$84:$H$88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Plot!$M$84:$M$88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CC-F946-A224-6369C0B62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</xdr:row>
      <xdr:rowOff>0</xdr:rowOff>
    </xdr:from>
    <xdr:to>
      <xdr:col>23</xdr:col>
      <xdr:colOff>31750</xdr:colOff>
      <xdr:row>12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1B3376-4DA0-854E-AB0D-7E359B36C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14</xdr:row>
      <xdr:rowOff>0</xdr:rowOff>
    </xdr:from>
    <xdr:to>
      <xdr:col>23</xdr:col>
      <xdr:colOff>31750</xdr:colOff>
      <xdr:row>23</xdr:row>
      <xdr:rowOff>179915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464D2C-3B33-C244-8620-FB012EDBF3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23</xdr:col>
      <xdr:colOff>31750</xdr:colOff>
      <xdr:row>34</xdr:row>
      <xdr:rowOff>179916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543118-4782-1E45-990F-7D9C89032B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23</xdr:col>
      <xdr:colOff>31750</xdr:colOff>
      <xdr:row>45</xdr:row>
      <xdr:rowOff>179916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287836-EBC7-7044-BB26-441D7C2B52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827851</xdr:colOff>
      <xdr:row>47</xdr:row>
      <xdr:rowOff>0</xdr:rowOff>
    </xdr:from>
    <xdr:to>
      <xdr:col>23</xdr:col>
      <xdr:colOff>31750</xdr:colOff>
      <xdr:row>56</xdr:row>
      <xdr:rowOff>179917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43E8350-121D-3649-B056-451006382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827851</xdr:colOff>
      <xdr:row>58</xdr:row>
      <xdr:rowOff>0</xdr:rowOff>
    </xdr:from>
    <xdr:to>
      <xdr:col>23</xdr:col>
      <xdr:colOff>31750</xdr:colOff>
      <xdr:row>67</xdr:row>
      <xdr:rowOff>179917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7F3D082-18A4-A540-B841-C61101834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827851</xdr:colOff>
      <xdr:row>69</xdr:row>
      <xdr:rowOff>0</xdr:rowOff>
    </xdr:from>
    <xdr:to>
      <xdr:col>23</xdr:col>
      <xdr:colOff>31750</xdr:colOff>
      <xdr:row>78</xdr:row>
      <xdr:rowOff>179917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10F4513-AA30-704E-A937-87D624892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827851</xdr:colOff>
      <xdr:row>80</xdr:row>
      <xdr:rowOff>0</xdr:rowOff>
    </xdr:from>
    <xdr:to>
      <xdr:col>23</xdr:col>
      <xdr:colOff>31750</xdr:colOff>
      <xdr:row>89</xdr:row>
      <xdr:rowOff>179917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19DCF46-5487-9648-9C60-D6CDD229C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32"/>
  <sheetViews>
    <sheetView tabSelected="1" zoomScale="175" zoomScaleNormal="175" workbookViewId="0">
      <selection activeCell="D3" sqref="D3"/>
    </sheetView>
  </sheetViews>
  <sheetFormatPr defaultColWidth="8.33203125" defaultRowHeight="14.4" x14ac:dyDescent="0.25"/>
  <cols>
    <col min="1" max="1" width="10.6640625" customWidth="1"/>
    <col min="2" max="2" width="10.6640625" style="2" customWidth="1"/>
    <col min="3" max="3" width="10.6640625" style="11" customWidth="1"/>
    <col min="4" max="4" width="15.88671875" style="11" customWidth="1"/>
    <col min="5" max="5" width="10.6640625" style="11" customWidth="1"/>
    <col min="6" max="19" width="10.6640625" customWidth="1"/>
    <col min="20" max="20" width="9.6640625" customWidth="1"/>
  </cols>
  <sheetData>
    <row r="1" spans="2:11" ht="15" customHeight="1" x14ac:dyDescent="0.25">
      <c r="B1" s="122" t="s">
        <v>1248</v>
      </c>
      <c r="C1" s="137"/>
      <c r="D1" s="137"/>
      <c r="E1" s="77"/>
    </row>
    <row r="2" spans="2:11" ht="15" customHeight="1" x14ac:dyDescent="0.25">
      <c r="B2" s="123" t="s">
        <v>1249</v>
      </c>
      <c r="C2" s="138"/>
      <c r="D2" s="138"/>
      <c r="E2" s="77"/>
      <c r="F2" s="18" t="s">
        <v>584</v>
      </c>
    </row>
    <row r="3" spans="2:11" ht="15" customHeight="1" x14ac:dyDescent="0.25"/>
    <row r="4" spans="2:11" ht="15" customHeight="1" thickBot="1" x14ac:dyDescent="0.3"/>
    <row r="5" spans="2:11" ht="15" customHeight="1" thickBot="1" x14ac:dyDescent="0.3">
      <c r="B5" s="134" t="s">
        <v>22</v>
      </c>
      <c r="C5" s="135" t="s">
        <v>1250</v>
      </c>
      <c r="D5" s="136"/>
      <c r="E5" s="136"/>
      <c r="F5" s="139" t="s">
        <v>1269</v>
      </c>
      <c r="G5" s="139" t="s">
        <v>1270</v>
      </c>
      <c r="H5" s="139" t="s">
        <v>1271</v>
      </c>
      <c r="I5" s="139" t="s">
        <v>1272</v>
      </c>
      <c r="J5" s="139" t="s">
        <v>1274</v>
      </c>
      <c r="K5" s="139" t="s">
        <v>1276</v>
      </c>
    </row>
    <row r="6" spans="2:11" ht="15" customHeight="1" thickBot="1" x14ac:dyDescent="0.3">
      <c r="B6" s="134"/>
      <c r="C6" s="124" t="s">
        <v>1231</v>
      </c>
      <c r="D6" s="125" t="s">
        <v>1232</v>
      </c>
      <c r="E6" s="125" t="s">
        <v>1233</v>
      </c>
      <c r="F6" s="139"/>
      <c r="G6" s="139"/>
      <c r="H6" s="139"/>
      <c r="I6" s="139"/>
      <c r="J6" s="139"/>
      <c r="K6" s="139"/>
    </row>
    <row r="7" spans="2:11" ht="15" customHeight="1" x14ac:dyDescent="0.25">
      <c r="B7" s="126" t="s">
        <v>1234</v>
      </c>
      <c r="C7" s="127">
        <f>'C1'!AT5</f>
        <v>0</v>
      </c>
      <c r="D7" s="127">
        <f>'C1'!AU5</f>
        <v>0</v>
      </c>
      <c r="E7" s="127">
        <f>'C1'!AV5</f>
        <v>0</v>
      </c>
      <c r="F7" s="127" t="str">
        <f>IFERROR(GEOMEAN('C1'!AN5:AN9)/GEOMEAN('C1'!T5:T9),"")</f>
        <v/>
      </c>
      <c r="G7" s="127" t="str">
        <f>IFERROR(GEOMEAN('C1'!AO5:AO9)/GEOMEAN('C1'!U5:U9),"")</f>
        <v/>
      </c>
      <c r="H7" s="127" t="str">
        <f>IFERROR(GEOMEAN('C1'!AP5:AP9)/GEOMEAN('C1'!V5:V9),"")</f>
        <v/>
      </c>
      <c r="I7" s="127" t="str">
        <f>IFERROR(GEOMEAN('C1'!AQ5:AQ9)/GEOMEAN('C1'!W5:W9),"")</f>
        <v/>
      </c>
      <c r="J7" s="127" t="str">
        <f>IFERROR(GEOMEAN('C1'!AR5:AR9)/GEOMEAN('C1'!X5:X9),"")</f>
        <v/>
      </c>
      <c r="K7" s="128" t="str">
        <f>IFERROR(GEOMEAN('C1'!AS5:AS9)/GEOMEAN('C1'!Y5:Y9),"")</f>
        <v/>
      </c>
    </row>
    <row r="8" spans="2:11" ht="15" customHeight="1" x14ac:dyDescent="0.25">
      <c r="B8" s="129" t="s">
        <v>1235</v>
      </c>
      <c r="C8" s="127">
        <f>'C1'!AT10</f>
        <v>0</v>
      </c>
      <c r="D8" s="127">
        <f>'C1'!AU10</f>
        <v>0</v>
      </c>
      <c r="E8" s="127">
        <f>'C1'!AV10</f>
        <v>0</v>
      </c>
      <c r="F8" s="127" t="str">
        <f>IFERROR(GEOMEAN('C1'!AN10:AN14)/GEOMEAN('C1'!T10:T14),"")</f>
        <v/>
      </c>
      <c r="G8" s="127" t="str">
        <f>IFERROR(GEOMEAN('C1'!AO10:AO14)/GEOMEAN('C1'!U10:U14),"")</f>
        <v/>
      </c>
      <c r="H8" s="127" t="str">
        <f>IFERROR(GEOMEAN('C1'!AP10:AP14)/GEOMEAN('C1'!V10:V14),"")</f>
        <v/>
      </c>
      <c r="I8" s="127" t="str">
        <f>IFERROR(GEOMEAN('C1'!AQ10:AQ14)/GEOMEAN('C1'!W10:W14),"")</f>
        <v/>
      </c>
      <c r="J8" s="127" t="str">
        <f>IFERROR(GEOMEAN('C1'!AR10:AR14)/GEOMEAN('C1'!X10:X14),"")</f>
        <v/>
      </c>
      <c r="K8" s="130" t="str">
        <f>IFERROR(GEOMEAN('C1'!AS10:AS14)/GEOMEAN('C1'!Y10:Y14),"")</f>
        <v/>
      </c>
    </row>
    <row r="9" spans="2:11" ht="15" customHeight="1" x14ac:dyDescent="0.25">
      <c r="B9" s="129" t="s">
        <v>1263</v>
      </c>
      <c r="C9" s="127">
        <f>'C1'!AT15</f>
        <v>0</v>
      </c>
      <c r="D9" s="127">
        <f>'C1'!AU15</f>
        <v>0</v>
      </c>
      <c r="E9" s="127">
        <f>'C1'!AV15</f>
        <v>0</v>
      </c>
      <c r="F9" s="127" t="str">
        <f>IFERROR(GEOMEAN('C1'!AN15:AN19)/GEOMEAN('C1'!T15:T19),"")</f>
        <v/>
      </c>
      <c r="G9" s="127" t="str">
        <f>IFERROR(GEOMEAN('C1'!AO15:AO19)/GEOMEAN('C1'!U15:U19),"")</f>
        <v/>
      </c>
      <c r="H9" s="127" t="str">
        <f>IFERROR(GEOMEAN('C1'!AP15:AP19)/GEOMEAN('C1'!V15:V19),"")</f>
        <v/>
      </c>
      <c r="I9" s="127" t="str">
        <f>IFERROR(GEOMEAN('C1'!AQ15:AQ19)/GEOMEAN('C1'!W15:W19),"")</f>
        <v/>
      </c>
      <c r="J9" s="127" t="str">
        <f>IFERROR(GEOMEAN('C1'!AR15:AR19)/GEOMEAN('C1'!X15:X19),"")</f>
        <v/>
      </c>
      <c r="K9" s="130" t="str">
        <f>IFERROR(GEOMEAN('C1'!AS15:AS19)/GEOMEAN('C1'!Y15:Y19),"")</f>
        <v/>
      </c>
    </row>
    <row r="10" spans="2:11" ht="15" customHeight="1" x14ac:dyDescent="0.25">
      <c r="B10" s="129" t="s">
        <v>1264</v>
      </c>
      <c r="C10" s="127">
        <f>'C1'!AT20</f>
        <v>0</v>
      </c>
      <c r="D10" s="127">
        <f>'C1'!AU20</f>
        <v>0</v>
      </c>
      <c r="E10" s="127">
        <f>'C1'!AV20</f>
        <v>0</v>
      </c>
      <c r="F10" s="127" t="str">
        <f>IFERROR(GEOMEAN('C1'!AN20:AN24)/GEOMEAN('C1'!T20:T24),"")</f>
        <v/>
      </c>
      <c r="G10" s="127" t="str">
        <f>IFERROR(GEOMEAN('C1'!AO20:AO24)/GEOMEAN('C1'!U20:U24),"")</f>
        <v/>
      </c>
      <c r="H10" s="127" t="str">
        <f>IFERROR(GEOMEAN('C1'!AP20:AP24)/GEOMEAN('C1'!V20:V24),"")</f>
        <v/>
      </c>
      <c r="I10" s="127" t="str">
        <f>IFERROR(GEOMEAN('C1'!AQ20:AQ24)/GEOMEAN('C1'!W20:W24),"")</f>
        <v/>
      </c>
      <c r="J10" s="127" t="str">
        <f>IFERROR(GEOMEAN('C1'!AR20:AR24)/GEOMEAN('C1'!X20:X24),"")</f>
        <v/>
      </c>
      <c r="K10" s="130" t="str">
        <f>IFERROR(GEOMEAN('C1'!AS20:AS24)/GEOMEAN('C1'!Y20:Y24),"")</f>
        <v/>
      </c>
    </row>
    <row r="11" spans="2:11" ht="15" customHeight="1" x14ac:dyDescent="0.25">
      <c r="B11" s="129" t="s">
        <v>1265</v>
      </c>
      <c r="C11" s="127">
        <f>'C1'!AT25</f>
        <v>0</v>
      </c>
      <c r="D11" s="127">
        <f>'C1'!AU25</f>
        <v>0</v>
      </c>
      <c r="E11" s="127">
        <f>'C1'!AV25</f>
        <v>0</v>
      </c>
      <c r="F11" s="127" t="str">
        <f>IFERROR(GEOMEAN('C1'!AN25:AN29)/GEOMEAN('C1'!T25:T29),"")</f>
        <v/>
      </c>
      <c r="G11" s="127" t="str">
        <f>IFERROR(GEOMEAN('C1'!AO25:AO29)/GEOMEAN('C1'!U25:U29),"")</f>
        <v/>
      </c>
      <c r="H11" s="127" t="str">
        <f>IFERROR(GEOMEAN('C1'!AP25:AP29)/GEOMEAN('C1'!V25:V29),"")</f>
        <v/>
      </c>
      <c r="I11" s="127" t="str">
        <f>IFERROR(GEOMEAN('C1'!AQ25:AQ29)/GEOMEAN('C1'!W25:W29),"")</f>
        <v/>
      </c>
      <c r="J11" s="127" t="str">
        <f>IFERROR(GEOMEAN('C1'!AR25:AR29)/GEOMEAN('C1'!X25:X29),"")</f>
        <v/>
      </c>
      <c r="K11" s="130" t="str">
        <f>IFERROR(GEOMEAN('C1'!AS25:AS29)/GEOMEAN('C1'!Y25:Y29),"")</f>
        <v/>
      </c>
    </row>
    <row r="12" spans="2:11" ht="15" customHeight="1" x14ac:dyDescent="0.25">
      <c r="B12" s="129" t="s">
        <v>1266</v>
      </c>
      <c r="C12" s="127">
        <f>'C1'!AT30</f>
        <v>0</v>
      </c>
      <c r="D12" s="127">
        <f>'C1'!AU30</f>
        <v>0</v>
      </c>
      <c r="E12" s="127">
        <f>'C1'!AV30</f>
        <v>0</v>
      </c>
      <c r="F12" s="127" t="str">
        <f>IFERROR(GEOMEAN('C1'!AN30:AN34)/GEOMEAN('C1'!T30:T34),"")</f>
        <v/>
      </c>
      <c r="G12" s="127" t="str">
        <f>IFERROR(GEOMEAN('C1'!AO30:AO34)/GEOMEAN('C1'!U30:U34),"")</f>
        <v/>
      </c>
      <c r="H12" s="127" t="str">
        <f>IFERROR(GEOMEAN('C1'!AP30:AP34)/GEOMEAN('C1'!V30:V34),"")</f>
        <v/>
      </c>
      <c r="I12" s="127" t="str">
        <f>IFERROR(GEOMEAN('C1'!AQ30:AQ34)/GEOMEAN('C1'!W30:W34),"")</f>
        <v/>
      </c>
      <c r="J12" s="127" t="str">
        <f>IFERROR(GEOMEAN('C1'!AR30:AR34)/GEOMEAN('C1'!X30:X34),"")</f>
        <v/>
      </c>
      <c r="K12" s="130" t="str">
        <f>IFERROR(GEOMEAN('C1'!AS30:AS34)/GEOMEAN('C1'!Y30:Y34),"")</f>
        <v/>
      </c>
    </row>
    <row r="13" spans="2:11" ht="15" customHeight="1" x14ac:dyDescent="0.25">
      <c r="B13" s="129" t="s">
        <v>1268</v>
      </c>
      <c r="C13" s="127">
        <f>'C1'!AT35</f>
        <v>0</v>
      </c>
      <c r="D13" s="127">
        <f>'C1'!AU35</f>
        <v>0</v>
      </c>
      <c r="E13" s="127">
        <f>'C1'!AV35</f>
        <v>0</v>
      </c>
      <c r="F13" s="127" t="str">
        <f>IFERROR(GEOMEAN('C1'!AN35:AN39)/GEOMEAN('C1'!T35:T39),"")</f>
        <v/>
      </c>
      <c r="G13" s="127" t="str">
        <f>IFERROR(GEOMEAN('C1'!AO35:AO39)/GEOMEAN('C1'!U35:U39),"")</f>
        <v/>
      </c>
      <c r="H13" s="127" t="str">
        <f>IFERROR(GEOMEAN('C1'!AP35:AP39)/GEOMEAN('C1'!V35:V39),"")</f>
        <v/>
      </c>
      <c r="I13" s="127" t="str">
        <f>IFERROR(GEOMEAN('C1'!AQ35:AQ39)/GEOMEAN('C1'!W35:W39),"")</f>
        <v/>
      </c>
      <c r="J13" s="127" t="str">
        <f>IFERROR(GEOMEAN('C1'!AR35:AR39)/GEOMEAN('C1'!X35:X39),"")</f>
        <v/>
      </c>
      <c r="K13" s="130" t="str">
        <f>IFERROR(GEOMEAN('C1'!AS35:AS39)/GEOMEAN('C1'!Y35:Y39),"")</f>
        <v/>
      </c>
    </row>
    <row r="14" spans="2:11" ht="15" customHeight="1" thickBot="1" x14ac:dyDescent="0.3">
      <c r="B14" s="129" t="s">
        <v>1267</v>
      </c>
      <c r="C14" s="127">
        <f>'C1'!AT40</f>
        <v>0</v>
      </c>
      <c r="D14" s="127">
        <f>'C1'!AU40</f>
        <v>0</v>
      </c>
      <c r="E14" s="127">
        <f>'C1'!AV40</f>
        <v>0</v>
      </c>
      <c r="F14" s="127" t="str">
        <f>IFERROR(GEOMEAN('C1'!AN40:AN44)/GEOMEAN('C1'!T40:T44),"")</f>
        <v/>
      </c>
      <c r="G14" s="127" t="str">
        <f>IFERROR(GEOMEAN('C1'!AO40:AO44)/GEOMEAN('C1'!U40:U44),"")</f>
        <v/>
      </c>
      <c r="H14" s="127" t="str">
        <f>IFERROR(GEOMEAN('C1'!AP40:AP44)/GEOMEAN('C1'!V40:V44),"")</f>
        <v/>
      </c>
      <c r="I14" s="127" t="str">
        <f>IFERROR(GEOMEAN('C1'!AQ40:AQ44)/GEOMEAN('C1'!W40:W44),"")</f>
        <v/>
      </c>
      <c r="J14" s="127" t="str">
        <f>IFERROR(GEOMEAN('C1'!AR40:AR44)/GEOMEAN('C1'!X40:X44),"")</f>
        <v/>
      </c>
      <c r="K14" s="130" t="str">
        <f>IFERROR(GEOMEAN('C1'!AS40:AS44)/GEOMEAN('C1'!Y40:Y44),"")</f>
        <v/>
      </c>
    </row>
    <row r="15" spans="2:11" ht="15" customHeight="1" thickBot="1" x14ac:dyDescent="0.3">
      <c r="B15" s="131" t="s">
        <v>611</v>
      </c>
      <c r="C15" s="132">
        <f>IF(_xlfn.AGGREGATE(2,6,C7:C14)=0,"",_xlfn.AGGREGATE(1,6,C7:C14))</f>
        <v>0</v>
      </c>
      <c r="D15" s="132">
        <f t="shared" ref="D15:E15" si="0">IF(_xlfn.AGGREGATE(2,6,D7:D14)=0,"",_xlfn.AGGREGATE(1,6,D7:D14))</f>
        <v>0</v>
      </c>
      <c r="E15" s="132">
        <f t="shared" si="0"/>
        <v>0</v>
      </c>
      <c r="F15" s="132" t="str">
        <f>IF(_xlfn.AGGREGATE(2,6,F7:F14)=0,"",_xlfn.AGGREGATE(1,6,F7:F14))</f>
        <v/>
      </c>
      <c r="G15" s="132" t="str">
        <f>IF(_xlfn.AGGREGATE(2,6,G7:G14)=0,"",_xlfn.AGGREGATE(1,6,G7:G14))</f>
        <v/>
      </c>
      <c r="H15" s="132" t="str">
        <f t="shared" ref="H15:K15" si="1">IF(_xlfn.AGGREGATE(2,6,H7:H14)=0,"",_xlfn.AGGREGATE(1,6,H7:H14))</f>
        <v/>
      </c>
      <c r="I15" s="132" t="str">
        <f t="shared" si="1"/>
        <v/>
      </c>
      <c r="J15" s="132" t="str">
        <f t="shared" si="1"/>
        <v/>
      </c>
      <c r="K15" s="133" t="str">
        <f t="shared" si="1"/>
        <v/>
      </c>
    </row>
    <row r="16" spans="2:11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</sheetData>
  <mergeCells count="10">
    <mergeCell ref="G5:G6"/>
    <mergeCell ref="H5:H6"/>
    <mergeCell ref="I5:I6"/>
    <mergeCell ref="J5:J6"/>
    <mergeCell ref="K5:K6"/>
    <mergeCell ref="B5:B6"/>
    <mergeCell ref="C5:E5"/>
    <mergeCell ref="C1:D1"/>
    <mergeCell ref="C2:D2"/>
    <mergeCell ref="F5:F6"/>
  </mergeCells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C882"/>
  <sheetViews>
    <sheetView topLeftCell="A307" workbookViewId="0">
      <selection activeCell="B332" sqref="B332"/>
    </sheetView>
  </sheetViews>
  <sheetFormatPr defaultColWidth="8.77734375" defaultRowHeight="14.4" x14ac:dyDescent="0.25"/>
  <cols>
    <col min="1" max="1" width="71" customWidth="1"/>
    <col min="2" max="2" width="50" style="2" customWidth="1"/>
  </cols>
  <sheetData>
    <row r="1" spans="1:29" x14ac:dyDescent="0.25">
      <c r="A1" t="s">
        <v>193</v>
      </c>
      <c r="B1" t="s">
        <v>0</v>
      </c>
      <c r="C1" t="s">
        <v>1</v>
      </c>
      <c r="D1" t="s">
        <v>585</v>
      </c>
      <c r="E1" t="s">
        <v>586</v>
      </c>
      <c r="F1" t="s">
        <v>547</v>
      </c>
      <c r="G1" t="s">
        <v>3</v>
      </c>
      <c r="H1" t="s">
        <v>4</v>
      </c>
      <c r="I1" t="s">
        <v>6</v>
      </c>
      <c r="J1" t="s">
        <v>7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s="2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736</v>
      </c>
      <c r="Y1" t="s">
        <v>734</v>
      </c>
      <c r="Z1" t="s">
        <v>735</v>
      </c>
      <c r="AA1" t="s">
        <v>737</v>
      </c>
    </row>
    <row r="2" spans="1:29" x14ac:dyDescent="0.25">
      <c r="A2" t="s">
        <v>100</v>
      </c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6</v>
      </c>
      <c r="H2" t="s">
        <v>7</v>
      </c>
      <c r="I2" t="s">
        <v>9</v>
      </c>
      <c r="J2" s="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736</v>
      </c>
      <c r="W2" t="s">
        <v>734</v>
      </c>
      <c r="X2" t="s">
        <v>735</v>
      </c>
      <c r="Y2" t="s">
        <v>737</v>
      </c>
    </row>
    <row r="3" spans="1:29" x14ac:dyDescent="0.25">
      <c r="A3" t="s">
        <v>269</v>
      </c>
      <c r="B3" s="2" t="s">
        <v>271</v>
      </c>
      <c r="C3" t="s">
        <v>0</v>
      </c>
      <c r="D3" t="s">
        <v>270</v>
      </c>
      <c r="E3" t="s">
        <v>1</v>
      </c>
      <c r="F3" t="s">
        <v>2</v>
      </c>
      <c r="G3" t="s">
        <v>3</v>
      </c>
      <c r="H3" t="s">
        <v>4</v>
      </c>
      <c r="I3" t="s">
        <v>5</v>
      </c>
      <c r="J3" t="s">
        <v>6</v>
      </c>
      <c r="K3" t="s">
        <v>7</v>
      </c>
      <c r="L3" t="s">
        <v>8</v>
      </c>
      <c r="M3" t="s">
        <v>9</v>
      </c>
      <c r="N3" t="s">
        <v>10</v>
      </c>
      <c r="O3" t="s">
        <v>11</v>
      </c>
      <c r="P3" t="s">
        <v>12</v>
      </c>
      <c r="Q3" t="s">
        <v>13</v>
      </c>
      <c r="R3" t="s">
        <v>14</v>
      </c>
      <c r="S3" t="s">
        <v>15</v>
      </c>
      <c r="T3" t="s">
        <v>16</v>
      </c>
      <c r="U3" t="s">
        <v>17</v>
      </c>
      <c r="V3" t="s">
        <v>18</v>
      </c>
      <c r="W3" t="s">
        <v>19</v>
      </c>
      <c r="X3" t="s">
        <v>20</v>
      </c>
      <c r="Y3" t="s">
        <v>21</v>
      </c>
      <c r="Z3" t="s">
        <v>736</v>
      </c>
      <c r="AA3" t="s">
        <v>734</v>
      </c>
      <c r="AB3" t="s">
        <v>735</v>
      </c>
      <c r="AC3" t="s">
        <v>737</v>
      </c>
    </row>
    <row r="4" spans="1:29" x14ac:dyDescent="0.25">
      <c r="A4" t="s">
        <v>149</v>
      </c>
      <c r="B4" t="s">
        <v>2</v>
      </c>
      <c r="C4" t="s">
        <v>3</v>
      </c>
      <c r="D4" t="s">
        <v>4</v>
      </c>
      <c r="E4" t="s">
        <v>7</v>
      </c>
      <c r="F4" t="s">
        <v>10</v>
      </c>
      <c r="G4" t="s">
        <v>11</v>
      </c>
      <c r="H4" t="s">
        <v>12</v>
      </c>
      <c r="I4" t="s">
        <v>13</v>
      </c>
      <c r="J4" t="s">
        <v>14</v>
      </c>
      <c r="K4" t="s">
        <v>15</v>
      </c>
      <c r="L4" t="s">
        <v>16</v>
      </c>
      <c r="M4" t="s">
        <v>17</v>
      </c>
      <c r="N4" t="s">
        <v>18</v>
      </c>
      <c r="O4" s="2" t="s">
        <v>19</v>
      </c>
      <c r="P4" t="s">
        <v>20</v>
      </c>
      <c r="Q4" t="s">
        <v>21</v>
      </c>
      <c r="R4" t="s">
        <v>738</v>
      </c>
      <c r="S4" t="s">
        <v>734</v>
      </c>
      <c r="T4" t="s">
        <v>735</v>
      </c>
      <c r="U4" t="s">
        <v>737</v>
      </c>
    </row>
    <row r="5" spans="1:29" x14ac:dyDescent="0.25">
      <c r="A5" t="s">
        <v>564</v>
      </c>
      <c r="B5" t="s">
        <v>0</v>
      </c>
      <c r="C5" t="s">
        <v>1</v>
      </c>
      <c r="D5" t="s">
        <v>585</v>
      </c>
      <c r="E5" t="s">
        <v>272</v>
      </c>
      <c r="F5" t="s">
        <v>547</v>
      </c>
      <c r="G5" t="s">
        <v>3</v>
      </c>
      <c r="H5" t="s">
        <v>4</v>
      </c>
      <c r="I5" t="s">
        <v>6</v>
      </c>
      <c r="J5" t="s">
        <v>7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15</v>
      </c>
      <c r="R5" s="2" t="s">
        <v>16</v>
      </c>
      <c r="S5" t="s">
        <v>17</v>
      </c>
      <c r="T5" t="s">
        <v>18</v>
      </c>
      <c r="U5" t="s">
        <v>19</v>
      </c>
      <c r="V5" t="s">
        <v>20</v>
      </c>
      <c r="W5" t="s">
        <v>21</v>
      </c>
      <c r="X5" t="s">
        <v>736</v>
      </c>
      <c r="Y5" t="s">
        <v>734</v>
      </c>
      <c r="Z5" t="s">
        <v>735</v>
      </c>
      <c r="AA5" t="s">
        <v>737</v>
      </c>
    </row>
    <row r="6" spans="1:29" x14ac:dyDescent="0.25">
      <c r="A6" t="s">
        <v>285</v>
      </c>
      <c r="B6" t="s">
        <v>0</v>
      </c>
      <c r="C6" t="s">
        <v>1</v>
      </c>
      <c r="D6" t="s">
        <v>2</v>
      </c>
      <c r="E6" t="s">
        <v>3</v>
      </c>
      <c r="F6" t="s">
        <v>4</v>
      </c>
      <c r="G6" t="s">
        <v>6</v>
      </c>
      <c r="H6" t="s">
        <v>7</v>
      </c>
      <c r="I6" t="s">
        <v>9</v>
      </c>
      <c r="J6" s="2" t="s">
        <v>10</v>
      </c>
      <c r="K6" t="s">
        <v>11</v>
      </c>
      <c r="L6" t="s">
        <v>12</v>
      </c>
      <c r="M6" t="s">
        <v>13</v>
      </c>
      <c r="N6" t="s">
        <v>14</v>
      </c>
      <c r="O6" t="s">
        <v>15</v>
      </c>
      <c r="P6" t="s">
        <v>16</v>
      </c>
      <c r="Q6" t="s">
        <v>17</v>
      </c>
      <c r="R6" t="s">
        <v>18</v>
      </c>
      <c r="S6" t="s">
        <v>19</v>
      </c>
      <c r="T6" t="s">
        <v>20</v>
      </c>
      <c r="U6" t="s">
        <v>21</v>
      </c>
      <c r="V6" t="s">
        <v>736</v>
      </c>
      <c r="W6" t="s">
        <v>734</v>
      </c>
      <c r="X6" t="s">
        <v>735</v>
      </c>
      <c r="Y6" t="s">
        <v>737</v>
      </c>
    </row>
    <row r="7" spans="1:29" x14ac:dyDescent="0.25">
      <c r="A7" t="s">
        <v>286</v>
      </c>
      <c r="B7" s="2" t="s">
        <v>271</v>
      </c>
      <c r="C7" t="s">
        <v>0</v>
      </c>
      <c r="D7" t="s">
        <v>270</v>
      </c>
      <c r="E7" t="s">
        <v>1</v>
      </c>
      <c r="F7" t="s">
        <v>2</v>
      </c>
      <c r="G7" t="s">
        <v>3</v>
      </c>
      <c r="H7" t="s">
        <v>4</v>
      </c>
      <c r="I7" t="s">
        <v>5</v>
      </c>
      <c r="J7" t="s">
        <v>6</v>
      </c>
      <c r="K7" t="s">
        <v>7</v>
      </c>
      <c r="L7" t="s">
        <v>8</v>
      </c>
      <c r="M7" t="s">
        <v>9</v>
      </c>
      <c r="N7" t="s">
        <v>10</v>
      </c>
      <c r="O7" t="s">
        <v>11</v>
      </c>
      <c r="P7" t="s">
        <v>12</v>
      </c>
      <c r="Q7" t="s">
        <v>13</v>
      </c>
      <c r="R7" t="s">
        <v>14</v>
      </c>
      <c r="S7" t="s">
        <v>15</v>
      </c>
      <c r="T7" t="s">
        <v>16</v>
      </c>
      <c r="U7" t="s">
        <v>17</v>
      </c>
      <c r="V7" t="s">
        <v>18</v>
      </c>
      <c r="W7" t="s">
        <v>19</v>
      </c>
      <c r="X7" t="s">
        <v>20</v>
      </c>
      <c r="Y7" t="s">
        <v>21</v>
      </c>
      <c r="Z7" t="s">
        <v>736</v>
      </c>
      <c r="AA7" t="s">
        <v>734</v>
      </c>
      <c r="AB7" t="s">
        <v>735</v>
      </c>
      <c r="AC7" t="s">
        <v>737</v>
      </c>
    </row>
    <row r="8" spans="1:29" x14ac:dyDescent="0.25">
      <c r="A8" t="s">
        <v>287</v>
      </c>
      <c r="B8" t="s">
        <v>906</v>
      </c>
      <c r="C8" t="s">
        <v>3</v>
      </c>
      <c r="D8" t="s">
        <v>4</v>
      </c>
      <c r="E8" t="s">
        <v>7</v>
      </c>
      <c r="F8" t="s">
        <v>10</v>
      </c>
      <c r="G8" t="s">
        <v>11</v>
      </c>
      <c r="H8" t="s">
        <v>12</v>
      </c>
      <c r="I8" t="s">
        <v>13</v>
      </c>
      <c r="J8" t="s">
        <v>14</v>
      </c>
      <c r="K8" t="s">
        <v>15</v>
      </c>
      <c r="L8" t="s">
        <v>16</v>
      </c>
      <c r="M8" t="s">
        <v>17</v>
      </c>
      <c r="N8" t="s">
        <v>18</v>
      </c>
      <c r="O8" s="2" t="s">
        <v>19</v>
      </c>
      <c r="P8" t="s">
        <v>20</v>
      </c>
      <c r="Q8" t="s">
        <v>21</v>
      </c>
      <c r="R8" t="s">
        <v>738</v>
      </c>
      <c r="S8" t="s">
        <v>734</v>
      </c>
      <c r="T8" t="s">
        <v>735</v>
      </c>
      <c r="U8" t="s">
        <v>737</v>
      </c>
    </row>
    <row r="9" spans="1:29" x14ac:dyDescent="0.25">
      <c r="A9" t="s">
        <v>150</v>
      </c>
      <c r="B9" s="2">
        <v>1</v>
      </c>
    </row>
    <row r="10" spans="1:29" x14ac:dyDescent="0.25">
      <c r="A10" t="s">
        <v>151</v>
      </c>
      <c r="B10" s="2">
        <v>2</v>
      </c>
    </row>
    <row r="11" spans="1:29" x14ac:dyDescent="0.25">
      <c r="A11" t="s">
        <v>152</v>
      </c>
      <c r="B11" s="2">
        <v>3</v>
      </c>
    </row>
    <row r="12" spans="1:29" x14ac:dyDescent="0.25">
      <c r="A12" t="s">
        <v>579</v>
      </c>
      <c r="B12" s="2">
        <v>4</v>
      </c>
    </row>
    <row r="13" spans="1:29" x14ac:dyDescent="0.25">
      <c r="A13" t="s">
        <v>903</v>
      </c>
      <c r="B13" s="2">
        <v>5</v>
      </c>
    </row>
    <row r="14" spans="1:29" x14ac:dyDescent="0.25">
      <c r="A14" t="s">
        <v>697</v>
      </c>
      <c r="B14" s="2">
        <v>6</v>
      </c>
    </row>
    <row r="15" spans="1:29" x14ac:dyDescent="0.25">
      <c r="A15" t="s">
        <v>909</v>
      </c>
      <c r="B15" s="2">
        <v>7</v>
      </c>
    </row>
    <row r="16" spans="1:29" x14ac:dyDescent="0.25">
      <c r="A16" t="s">
        <v>905</v>
      </c>
      <c r="B16" s="2">
        <v>8</v>
      </c>
    </row>
    <row r="17" spans="1:2" x14ac:dyDescent="0.25">
      <c r="A17" t="s">
        <v>153</v>
      </c>
      <c r="B17" s="2">
        <v>9</v>
      </c>
    </row>
    <row r="18" spans="1:2" x14ac:dyDescent="0.25">
      <c r="A18" t="s">
        <v>154</v>
      </c>
      <c r="B18" s="2">
        <v>10</v>
      </c>
    </row>
    <row r="19" spans="1:2" x14ac:dyDescent="0.25">
      <c r="A19" t="s">
        <v>155</v>
      </c>
      <c r="B19" s="2">
        <v>12</v>
      </c>
    </row>
    <row r="20" spans="1:2" x14ac:dyDescent="0.25">
      <c r="A20" t="s">
        <v>698</v>
      </c>
      <c r="B20" s="2">
        <v>13</v>
      </c>
    </row>
    <row r="21" spans="1:2" x14ac:dyDescent="0.25">
      <c r="A21" t="s">
        <v>699</v>
      </c>
      <c r="B21" s="2">
        <v>14</v>
      </c>
    </row>
    <row r="22" spans="1:2" x14ac:dyDescent="0.25">
      <c r="A22" t="s">
        <v>700</v>
      </c>
      <c r="B22" s="2">
        <v>15</v>
      </c>
    </row>
    <row r="23" spans="1:2" x14ac:dyDescent="0.25">
      <c r="A23" t="s">
        <v>701</v>
      </c>
      <c r="B23" s="2">
        <v>16</v>
      </c>
    </row>
    <row r="24" spans="1:2" x14ac:dyDescent="0.25">
      <c r="A24" t="s">
        <v>156</v>
      </c>
      <c r="B24" s="2">
        <v>17</v>
      </c>
    </row>
    <row r="25" spans="1:2" x14ac:dyDescent="0.25">
      <c r="A25" t="s">
        <v>157</v>
      </c>
      <c r="B25" s="2">
        <v>18</v>
      </c>
    </row>
    <row r="26" spans="1:2" x14ac:dyDescent="0.25">
      <c r="A26" t="s">
        <v>158</v>
      </c>
      <c r="B26" s="2">
        <v>19</v>
      </c>
    </row>
    <row r="27" spans="1:2" x14ac:dyDescent="0.25">
      <c r="A27" t="s">
        <v>904</v>
      </c>
      <c r="B27" s="2">
        <v>20</v>
      </c>
    </row>
    <row r="28" spans="1:2" x14ac:dyDescent="0.25">
      <c r="A28" t="s">
        <v>159</v>
      </c>
      <c r="B28" s="2">
        <v>21</v>
      </c>
    </row>
    <row r="29" spans="1:2" x14ac:dyDescent="0.25">
      <c r="A29" t="s">
        <v>160</v>
      </c>
      <c r="B29" s="2">
        <v>22</v>
      </c>
    </row>
    <row r="30" spans="1:2" x14ac:dyDescent="0.25">
      <c r="A30" t="s">
        <v>161</v>
      </c>
      <c r="B30" s="2">
        <v>23</v>
      </c>
    </row>
    <row r="31" spans="1:2" x14ac:dyDescent="0.25">
      <c r="A31" t="s">
        <v>162</v>
      </c>
      <c r="B31" s="2">
        <v>24</v>
      </c>
    </row>
    <row r="32" spans="1:2" x14ac:dyDescent="0.25">
      <c r="A32" t="s">
        <v>163</v>
      </c>
      <c r="B32" s="2">
        <v>25</v>
      </c>
    </row>
    <row r="33" spans="1:2" x14ac:dyDescent="0.25">
      <c r="A33" t="s">
        <v>164</v>
      </c>
      <c r="B33" s="2">
        <v>26</v>
      </c>
    </row>
    <row r="34" spans="1:2" x14ac:dyDescent="0.25">
      <c r="A34" t="s">
        <v>580</v>
      </c>
      <c r="B34" s="2">
        <v>27</v>
      </c>
    </row>
    <row r="35" spans="1:2" x14ac:dyDescent="0.25">
      <c r="A35" t="s">
        <v>581</v>
      </c>
      <c r="B35" s="2">
        <v>28</v>
      </c>
    </row>
    <row r="36" spans="1:2" x14ac:dyDescent="0.25">
      <c r="A36" t="s">
        <v>165</v>
      </c>
      <c r="B36" s="2">
        <v>29</v>
      </c>
    </row>
    <row r="37" spans="1:2" x14ac:dyDescent="0.25">
      <c r="A37" t="s">
        <v>166</v>
      </c>
      <c r="B37" s="2">
        <v>30</v>
      </c>
    </row>
    <row r="38" spans="1:2" x14ac:dyDescent="0.25">
      <c r="A38" t="s">
        <v>167</v>
      </c>
      <c r="B38" s="2">
        <v>31</v>
      </c>
    </row>
    <row r="39" spans="1:2" x14ac:dyDescent="0.25">
      <c r="A39" t="s">
        <v>168</v>
      </c>
      <c r="B39" s="2">
        <v>32</v>
      </c>
    </row>
    <row r="40" spans="1:2" x14ac:dyDescent="0.25">
      <c r="A40" t="s">
        <v>169</v>
      </c>
      <c r="B40" s="2">
        <v>33</v>
      </c>
    </row>
    <row r="41" spans="1:2" x14ac:dyDescent="0.25">
      <c r="A41" t="s">
        <v>170</v>
      </c>
      <c r="B41" s="2">
        <v>34</v>
      </c>
    </row>
    <row r="42" spans="1:2" x14ac:dyDescent="0.25">
      <c r="A42" t="s">
        <v>940</v>
      </c>
      <c r="B42" s="2">
        <v>35</v>
      </c>
    </row>
    <row r="43" spans="1:2" x14ac:dyDescent="0.25">
      <c r="A43" t="s">
        <v>941</v>
      </c>
      <c r="B43" s="2">
        <v>36</v>
      </c>
    </row>
    <row r="44" spans="1:2" x14ac:dyDescent="0.25">
      <c r="A44" t="s">
        <v>942</v>
      </c>
      <c r="B44" s="2">
        <v>37</v>
      </c>
    </row>
    <row r="45" spans="1:2" x14ac:dyDescent="0.25">
      <c r="A45" t="s">
        <v>943</v>
      </c>
      <c r="B45" s="2">
        <v>38</v>
      </c>
    </row>
    <row r="46" spans="1:2" x14ac:dyDescent="0.25">
      <c r="A46" t="s">
        <v>944</v>
      </c>
      <c r="B46" s="2">
        <v>39</v>
      </c>
    </row>
    <row r="47" spans="1:2" x14ac:dyDescent="0.25">
      <c r="A47" t="s">
        <v>945</v>
      </c>
      <c r="B47" s="2">
        <v>40</v>
      </c>
    </row>
    <row r="48" spans="1:2" x14ac:dyDescent="0.25">
      <c r="A48" t="s">
        <v>171</v>
      </c>
      <c r="B48" s="2">
        <v>41</v>
      </c>
    </row>
    <row r="49" spans="1:2" x14ac:dyDescent="0.25">
      <c r="A49" t="s">
        <v>565</v>
      </c>
      <c r="B49" s="2">
        <v>42</v>
      </c>
    </row>
    <row r="50" spans="1:2" x14ac:dyDescent="0.25">
      <c r="A50" t="s">
        <v>566</v>
      </c>
      <c r="B50" s="2">
        <v>43</v>
      </c>
    </row>
    <row r="51" spans="1:2" x14ac:dyDescent="0.25">
      <c r="A51" t="s">
        <v>172</v>
      </c>
      <c r="B51" s="2">
        <v>45</v>
      </c>
    </row>
    <row r="52" spans="1:2" x14ac:dyDescent="0.25">
      <c r="A52" t="s">
        <v>706</v>
      </c>
      <c r="B52" s="2">
        <v>46</v>
      </c>
    </row>
    <row r="53" spans="1:2" x14ac:dyDescent="0.25">
      <c r="A53" t="s">
        <v>703</v>
      </c>
      <c r="B53" s="2">
        <v>47</v>
      </c>
    </row>
    <row r="54" spans="1:2" x14ac:dyDescent="0.25">
      <c r="A54" t="s">
        <v>704</v>
      </c>
      <c r="B54" s="2">
        <v>48</v>
      </c>
    </row>
    <row r="55" spans="1:2" x14ac:dyDescent="0.25">
      <c r="A55" t="s">
        <v>705</v>
      </c>
      <c r="B55" s="2">
        <v>49</v>
      </c>
    </row>
    <row r="56" spans="1:2" x14ac:dyDescent="0.25">
      <c r="A56" t="s">
        <v>173</v>
      </c>
      <c r="B56" s="2">
        <v>50</v>
      </c>
    </row>
    <row r="57" spans="1:2" x14ac:dyDescent="0.25">
      <c r="A57" t="s">
        <v>174</v>
      </c>
      <c r="B57" s="2">
        <v>51</v>
      </c>
    </row>
    <row r="58" spans="1:2" x14ac:dyDescent="0.25">
      <c r="A58" t="s">
        <v>175</v>
      </c>
      <c r="B58" s="2">
        <v>52</v>
      </c>
    </row>
    <row r="59" spans="1:2" x14ac:dyDescent="0.25">
      <c r="A59" t="s">
        <v>176</v>
      </c>
      <c r="B59" s="2">
        <v>53</v>
      </c>
    </row>
    <row r="60" spans="1:2" x14ac:dyDescent="0.25">
      <c r="A60" t="s">
        <v>177</v>
      </c>
      <c r="B60" s="2">
        <v>54</v>
      </c>
    </row>
    <row r="61" spans="1:2" x14ac:dyDescent="0.25">
      <c r="A61" t="s">
        <v>178</v>
      </c>
      <c r="B61" s="2">
        <v>55</v>
      </c>
    </row>
    <row r="62" spans="1:2" x14ac:dyDescent="0.25">
      <c r="A62" t="s">
        <v>179</v>
      </c>
      <c r="B62" s="2">
        <v>56</v>
      </c>
    </row>
    <row r="63" spans="1:2" x14ac:dyDescent="0.25">
      <c r="A63" t="s">
        <v>180</v>
      </c>
      <c r="B63" s="2">
        <v>57</v>
      </c>
    </row>
    <row r="64" spans="1:2" x14ac:dyDescent="0.25">
      <c r="A64" t="s">
        <v>181</v>
      </c>
      <c r="B64" s="2">
        <v>58</v>
      </c>
    </row>
    <row r="65" spans="1:2" x14ac:dyDescent="0.25">
      <c r="A65" t="s">
        <v>182</v>
      </c>
      <c r="B65" s="2">
        <v>59</v>
      </c>
    </row>
    <row r="66" spans="1:2" x14ac:dyDescent="0.25">
      <c r="A66" t="s">
        <v>582</v>
      </c>
      <c r="B66" s="2">
        <v>60</v>
      </c>
    </row>
    <row r="67" spans="1:2" x14ac:dyDescent="0.25">
      <c r="A67" t="s">
        <v>583</v>
      </c>
      <c r="B67" s="2">
        <v>61</v>
      </c>
    </row>
    <row r="68" spans="1:2" x14ac:dyDescent="0.25">
      <c r="A68" t="s">
        <v>183</v>
      </c>
      <c r="B68" s="2">
        <v>62</v>
      </c>
    </row>
    <row r="69" spans="1:2" x14ac:dyDescent="0.25">
      <c r="A69" t="s">
        <v>184</v>
      </c>
      <c r="B69" s="2">
        <v>63</v>
      </c>
    </row>
    <row r="70" spans="1:2" x14ac:dyDescent="0.25">
      <c r="A70" t="s">
        <v>185</v>
      </c>
      <c r="B70" s="2">
        <v>64</v>
      </c>
    </row>
    <row r="71" spans="1:2" x14ac:dyDescent="0.25">
      <c r="A71" t="s">
        <v>186</v>
      </c>
      <c r="B71" s="2">
        <v>65</v>
      </c>
    </row>
    <row r="72" spans="1:2" x14ac:dyDescent="0.25">
      <c r="A72" t="s">
        <v>187</v>
      </c>
      <c r="B72" s="2">
        <v>66</v>
      </c>
    </row>
    <row r="73" spans="1:2" x14ac:dyDescent="0.25">
      <c r="A73" t="s">
        <v>188</v>
      </c>
      <c r="B73" s="2">
        <v>67</v>
      </c>
    </row>
    <row r="74" spans="1:2" x14ac:dyDescent="0.25">
      <c r="A74" t="s">
        <v>946</v>
      </c>
      <c r="B74" s="2">
        <v>68</v>
      </c>
    </row>
    <row r="75" spans="1:2" x14ac:dyDescent="0.25">
      <c r="A75" t="s">
        <v>947</v>
      </c>
      <c r="B75" s="2">
        <v>69</v>
      </c>
    </row>
    <row r="76" spans="1:2" x14ac:dyDescent="0.25">
      <c r="A76" t="s">
        <v>948</v>
      </c>
      <c r="B76" s="2">
        <v>70</v>
      </c>
    </row>
    <row r="77" spans="1:2" x14ac:dyDescent="0.25">
      <c r="A77" t="s">
        <v>949</v>
      </c>
      <c r="B77" s="2">
        <v>71</v>
      </c>
    </row>
    <row r="78" spans="1:2" x14ac:dyDescent="0.25">
      <c r="A78" t="s">
        <v>950</v>
      </c>
      <c r="B78" s="2">
        <v>72</v>
      </c>
    </row>
    <row r="79" spans="1:2" x14ac:dyDescent="0.25">
      <c r="A79" t="s">
        <v>951</v>
      </c>
      <c r="B79" s="2">
        <v>73</v>
      </c>
    </row>
    <row r="80" spans="1:2" x14ac:dyDescent="0.25">
      <c r="A80" t="s">
        <v>189</v>
      </c>
      <c r="B80" s="2">
        <v>74</v>
      </c>
    </row>
    <row r="81" spans="1:2" x14ac:dyDescent="0.25">
      <c r="A81" t="s">
        <v>190</v>
      </c>
      <c r="B81" s="2">
        <v>75</v>
      </c>
    </row>
    <row r="82" spans="1:2" x14ac:dyDescent="0.25">
      <c r="A82" t="s">
        <v>567</v>
      </c>
      <c r="B82" s="2">
        <v>76</v>
      </c>
    </row>
    <row r="83" spans="1:2" x14ac:dyDescent="0.25">
      <c r="A83" t="s">
        <v>191</v>
      </c>
      <c r="B83" s="4" t="s">
        <v>953</v>
      </c>
    </row>
    <row r="84" spans="1:2" x14ac:dyDescent="0.25">
      <c r="A84" t="s">
        <v>192</v>
      </c>
      <c r="B84" s="3" t="s">
        <v>952</v>
      </c>
    </row>
    <row r="85" spans="1:2" x14ac:dyDescent="0.25">
      <c r="A85" t="s">
        <v>587</v>
      </c>
      <c r="B85" s="3" t="s">
        <v>954</v>
      </c>
    </row>
    <row r="86" spans="1:2" x14ac:dyDescent="0.25">
      <c r="A86" t="s">
        <v>588</v>
      </c>
      <c r="B86" s="3" t="s">
        <v>955</v>
      </c>
    </row>
    <row r="87" spans="1:2" x14ac:dyDescent="0.25">
      <c r="A87" t="s">
        <v>589</v>
      </c>
      <c r="B87" s="3" t="s">
        <v>956</v>
      </c>
    </row>
    <row r="88" spans="1:2" x14ac:dyDescent="0.25">
      <c r="A88" t="s">
        <v>590</v>
      </c>
      <c r="B88" s="3" t="s">
        <v>957</v>
      </c>
    </row>
    <row r="89" spans="1:2" x14ac:dyDescent="0.25">
      <c r="A89" t="s">
        <v>591</v>
      </c>
      <c r="B89" s="3" t="s">
        <v>958</v>
      </c>
    </row>
    <row r="90" spans="1:2" s="6" customFormat="1" x14ac:dyDescent="0.25">
      <c r="A90" s="5" t="s">
        <v>592</v>
      </c>
      <c r="B90" s="9" t="s">
        <v>959</v>
      </c>
    </row>
    <row r="91" spans="1:2" s="6" customFormat="1" x14ac:dyDescent="0.25">
      <c r="A91" t="s">
        <v>612</v>
      </c>
      <c r="B91" s="9" t="s">
        <v>960</v>
      </c>
    </row>
    <row r="92" spans="1:2" s="6" customFormat="1" x14ac:dyDescent="0.25">
      <c r="A92" t="s">
        <v>614</v>
      </c>
      <c r="B92" s="9" t="s">
        <v>961</v>
      </c>
    </row>
    <row r="93" spans="1:2" s="6" customFormat="1" x14ac:dyDescent="0.25">
      <c r="A93" t="s">
        <v>613</v>
      </c>
      <c r="B93" s="9" t="s">
        <v>962</v>
      </c>
    </row>
    <row r="94" spans="1:2" s="6" customFormat="1" x14ac:dyDescent="0.25">
      <c r="A94" t="s">
        <v>615</v>
      </c>
      <c r="B94" s="9" t="s">
        <v>963</v>
      </c>
    </row>
    <row r="95" spans="1:2" s="6" customFormat="1" x14ac:dyDescent="0.25">
      <c r="A95" t="s">
        <v>616</v>
      </c>
      <c r="B95" s="9" t="s">
        <v>964</v>
      </c>
    </row>
    <row r="96" spans="1:2" s="6" customFormat="1" x14ac:dyDescent="0.25">
      <c r="A96" s="5" t="s">
        <v>617</v>
      </c>
      <c r="B96" s="9" t="s">
        <v>965</v>
      </c>
    </row>
    <row r="97" spans="1:2" s="6" customFormat="1" x14ac:dyDescent="0.25">
      <c r="A97" s="6" t="s">
        <v>618</v>
      </c>
      <c r="B97" s="9" t="s">
        <v>966</v>
      </c>
    </row>
    <row r="98" spans="1:2" s="6" customFormat="1" x14ac:dyDescent="0.25">
      <c r="A98" t="s">
        <v>1103</v>
      </c>
      <c r="B98" s="9" t="s">
        <v>967</v>
      </c>
    </row>
    <row r="99" spans="1:2" s="6" customFormat="1" x14ac:dyDescent="0.25">
      <c r="A99" t="s">
        <v>1104</v>
      </c>
      <c r="B99" s="9" t="s">
        <v>968</v>
      </c>
    </row>
    <row r="100" spans="1:2" s="6" customFormat="1" x14ac:dyDescent="0.25">
      <c r="A100" t="s">
        <v>1105</v>
      </c>
      <c r="B100" s="9" t="s">
        <v>969</v>
      </c>
    </row>
    <row r="101" spans="1:2" s="6" customFormat="1" x14ac:dyDescent="0.25">
      <c r="A101" t="s">
        <v>1106</v>
      </c>
      <c r="B101" s="9" t="s">
        <v>970</v>
      </c>
    </row>
    <row r="102" spans="1:2" s="6" customFormat="1" x14ac:dyDescent="0.25">
      <c r="A102" t="s">
        <v>1107</v>
      </c>
      <c r="B102" s="9" t="s">
        <v>971</v>
      </c>
    </row>
    <row r="103" spans="1:2" s="6" customFormat="1" x14ac:dyDescent="0.25">
      <c r="A103" t="s">
        <v>1108</v>
      </c>
      <c r="B103" s="9" t="s">
        <v>972</v>
      </c>
    </row>
    <row r="104" spans="1:2" s="6" customFormat="1" x14ac:dyDescent="0.25">
      <c r="A104" t="s">
        <v>1109</v>
      </c>
      <c r="B104" s="9" t="s">
        <v>973</v>
      </c>
    </row>
    <row r="105" spans="1:2" s="6" customFormat="1" x14ac:dyDescent="0.25">
      <c r="A105" t="s">
        <v>1110</v>
      </c>
      <c r="B105" s="9" t="s">
        <v>974</v>
      </c>
    </row>
    <row r="106" spans="1:2" s="6" customFormat="1" x14ac:dyDescent="0.25">
      <c r="A106" t="s">
        <v>1111</v>
      </c>
      <c r="B106" s="9" t="s">
        <v>975</v>
      </c>
    </row>
    <row r="107" spans="1:2" s="6" customFormat="1" x14ac:dyDescent="0.25">
      <c r="A107" s="5" t="s">
        <v>1112</v>
      </c>
      <c r="B107" s="9" t="s">
        <v>976</v>
      </c>
    </row>
    <row r="108" spans="1:2" s="6" customFormat="1" x14ac:dyDescent="0.25">
      <c r="A108" s="6" t="s">
        <v>1113</v>
      </c>
      <c r="B108" s="9" t="s">
        <v>977</v>
      </c>
    </row>
    <row r="109" spans="1:2" s="6" customFormat="1" x14ac:dyDescent="0.25">
      <c r="A109" s="6" t="s">
        <v>1114</v>
      </c>
      <c r="B109" s="9" t="s">
        <v>978</v>
      </c>
    </row>
    <row r="110" spans="1:2" s="6" customFormat="1" x14ac:dyDescent="0.25">
      <c r="A110" s="6" t="s">
        <v>1115</v>
      </c>
      <c r="B110" s="9" t="s">
        <v>979</v>
      </c>
    </row>
    <row r="111" spans="1:2" s="6" customFormat="1" x14ac:dyDescent="0.25">
      <c r="A111" s="6" t="s">
        <v>1116</v>
      </c>
      <c r="B111" s="9" t="s">
        <v>1117</v>
      </c>
    </row>
    <row r="112" spans="1:2" s="6" customFormat="1" x14ac:dyDescent="0.25">
      <c r="A112" t="s">
        <v>914</v>
      </c>
      <c r="B112" s="9" t="s">
        <v>1118</v>
      </c>
    </row>
    <row r="113" spans="1:2" s="6" customFormat="1" x14ac:dyDescent="0.25">
      <c r="A113" t="s">
        <v>915</v>
      </c>
      <c r="B113" s="9" t="s">
        <v>1119</v>
      </c>
    </row>
    <row r="114" spans="1:2" s="6" customFormat="1" x14ac:dyDescent="0.25">
      <c r="A114" t="s">
        <v>916</v>
      </c>
      <c r="B114" s="9" t="s">
        <v>1120</v>
      </c>
    </row>
    <row r="115" spans="1:2" s="6" customFormat="1" x14ac:dyDescent="0.25">
      <c r="A115" t="s">
        <v>917</v>
      </c>
      <c r="B115" s="9" t="s">
        <v>1121</v>
      </c>
    </row>
    <row r="116" spans="1:2" s="6" customFormat="1" x14ac:dyDescent="0.25">
      <c r="A116" t="s">
        <v>568</v>
      </c>
      <c r="B116" s="9" t="s">
        <v>1122</v>
      </c>
    </row>
    <row r="117" spans="1:2" s="6" customFormat="1" x14ac:dyDescent="0.25">
      <c r="A117" t="s">
        <v>569</v>
      </c>
      <c r="B117" s="9" t="s">
        <v>1123</v>
      </c>
    </row>
    <row r="118" spans="1:2" s="6" customFormat="1" x14ac:dyDescent="0.25">
      <c r="A118" t="s">
        <v>570</v>
      </c>
      <c r="B118" s="9" t="s">
        <v>1124</v>
      </c>
    </row>
    <row r="119" spans="1:2" s="6" customFormat="1" x14ac:dyDescent="0.25">
      <c r="A119" t="s">
        <v>571</v>
      </c>
      <c r="B119" s="9" t="s">
        <v>1125</v>
      </c>
    </row>
    <row r="120" spans="1:2" s="6" customFormat="1" x14ac:dyDescent="0.25">
      <c r="A120" t="s">
        <v>572</v>
      </c>
      <c r="B120" s="9" t="s">
        <v>1126</v>
      </c>
    </row>
    <row r="121" spans="1:2" s="6" customFormat="1" x14ac:dyDescent="0.25">
      <c r="A121" s="5" t="s">
        <v>573</v>
      </c>
      <c r="B121" s="9" t="s">
        <v>1127</v>
      </c>
    </row>
    <row r="122" spans="1:2" s="6" customFormat="1" x14ac:dyDescent="0.25">
      <c r="A122" s="6" t="s">
        <v>574</v>
      </c>
      <c r="B122" s="9" t="s">
        <v>1128</v>
      </c>
    </row>
    <row r="123" spans="1:2" s="6" customFormat="1" x14ac:dyDescent="0.25">
      <c r="A123" s="6" t="s">
        <v>575</v>
      </c>
      <c r="B123" s="9" t="s">
        <v>1129</v>
      </c>
    </row>
    <row r="124" spans="1:2" s="6" customFormat="1" x14ac:dyDescent="0.25">
      <c r="A124" s="6" t="s">
        <v>576</v>
      </c>
      <c r="B124" s="9" t="s">
        <v>1130</v>
      </c>
    </row>
    <row r="125" spans="1:2" x14ac:dyDescent="0.25">
      <c r="A125" t="s">
        <v>101</v>
      </c>
      <c r="B125" s="2">
        <v>1</v>
      </c>
    </row>
    <row r="126" spans="1:2" x14ac:dyDescent="0.25">
      <c r="A126" t="s">
        <v>102</v>
      </c>
      <c r="B126" s="2">
        <v>2</v>
      </c>
    </row>
    <row r="127" spans="1:2" x14ac:dyDescent="0.25">
      <c r="A127" t="s">
        <v>54</v>
      </c>
      <c r="B127" s="2">
        <v>3</v>
      </c>
    </row>
    <row r="128" spans="1:2" x14ac:dyDescent="0.25">
      <c r="A128" t="s">
        <v>55</v>
      </c>
      <c r="B128" s="2">
        <v>4</v>
      </c>
    </row>
    <row r="129" spans="1:2" x14ac:dyDescent="0.25">
      <c r="A129" t="s">
        <v>56</v>
      </c>
      <c r="B129" s="2">
        <v>5</v>
      </c>
    </row>
    <row r="130" spans="1:2" x14ac:dyDescent="0.25">
      <c r="A130" t="s">
        <v>702</v>
      </c>
      <c r="B130" s="2">
        <v>6</v>
      </c>
    </row>
    <row r="131" spans="1:2" x14ac:dyDescent="0.25">
      <c r="A131" t="s">
        <v>910</v>
      </c>
      <c r="B131" s="2">
        <v>7</v>
      </c>
    </row>
    <row r="132" spans="1:2" x14ac:dyDescent="0.25">
      <c r="A132" t="s">
        <v>908</v>
      </c>
      <c r="B132" s="2">
        <v>8</v>
      </c>
    </row>
    <row r="133" spans="1:2" x14ac:dyDescent="0.25">
      <c r="A133" t="s">
        <v>57</v>
      </c>
      <c r="B133" s="2">
        <v>9</v>
      </c>
    </row>
    <row r="134" spans="1:2" x14ac:dyDescent="0.25">
      <c r="A134" t="s">
        <v>58</v>
      </c>
      <c r="B134" s="2">
        <v>10</v>
      </c>
    </row>
    <row r="135" spans="1:2" x14ac:dyDescent="0.25">
      <c r="A135" t="s">
        <v>59</v>
      </c>
      <c r="B135" s="2">
        <v>12</v>
      </c>
    </row>
    <row r="136" spans="1:2" x14ac:dyDescent="0.25">
      <c r="A136" t="s">
        <v>710</v>
      </c>
      <c r="B136" s="2">
        <v>13</v>
      </c>
    </row>
    <row r="137" spans="1:2" x14ac:dyDescent="0.25">
      <c r="A137" t="s">
        <v>707</v>
      </c>
      <c r="B137" s="2">
        <v>14</v>
      </c>
    </row>
    <row r="138" spans="1:2" x14ac:dyDescent="0.25">
      <c r="A138" t="s">
        <v>708</v>
      </c>
      <c r="B138" s="2">
        <v>15</v>
      </c>
    </row>
    <row r="139" spans="1:2" x14ac:dyDescent="0.25">
      <c r="A139" t="s">
        <v>709</v>
      </c>
      <c r="B139" s="2">
        <v>16</v>
      </c>
    </row>
    <row r="140" spans="1:2" x14ac:dyDescent="0.25">
      <c r="A140" t="s">
        <v>60</v>
      </c>
      <c r="B140" s="2">
        <v>17</v>
      </c>
    </row>
    <row r="141" spans="1:2" x14ac:dyDescent="0.25">
      <c r="A141" t="s">
        <v>61</v>
      </c>
      <c r="B141" s="2">
        <v>18</v>
      </c>
    </row>
    <row r="142" spans="1:2" x14ac:dyDescent="0.25">
      <c r="A142" t="s">
        <v>62</v>
      </c>
      <c r="B142" s="2">
        <v>19</v>
      </c>
    </row>
    <row r="143" spans="1:2" x14ac:dyDescent="0.25">
      <c r="A143" t="s">
        <v>907</v>
      </c>
      <c r="B143" s="2">
        <v>20</v>
      </c>
    </row>
    <row r="144" spans="1:2" x14ac:dyDescent="0.25">
      <c r="A144" t="s">
        <v>63</v>
      </c>
      <c r="B144" s="2">
        <v>21</v>
      </c>
    </row>
    <row r="145" spans="1:2" x14ac:dyDescent="0.25">
      <c r="A145" t="s">
        <v>64</v>
      </c>
      <c r="B145" s="2">
        <v>22</v>
      </c>
    </row>
    <row r="146" spans="1:2" x14ac:dyDescent="0.25">
      <c r="A146" t="s">
        <v>65</v>
      </c>
      <c r="B146" s="2">
        <v>23</v>
      </c>
    </row>
    <row r="147" spans="1:2" x14ac:dyDescent="0.25">
      <c r="A147" t="s">
        <v>66</v>
      </c>
      <c r="B147" s="2">
        <v>24</v>
      </c>
    </row>
    <row r="148" spans="1:2" x14ac:dyDescent="0.25">
      <c r="A148" t="s">
        <v>67</v>
      </c>
      <c r="B148" s="2">
        <v>25</v>
      </c>
    </row>
    <row r="149" spans="1:2" x14ac:dyDescent="0.25">
      <c r="A149" t="s">
        <v>68</v>
      </c>
      <c r="B149" s="2">
        <v>26</v>
      </c>
    </row>
    <row r="150" spans="1:2" x14ac:dyDescent="0.25">
      <c r="A150" t="s">
        <v>69</v>
      </c>
      <c r="B150" s="2">
        <v>27</v>
      </c>
    </row>
    <row r="151" spans="1:2" x14ac:dyDescent="0.25">
      <c r="A151" t="s">
        <v>70</v>
      </c>
      <c r="B151" s="2">
        <v>28</v>
      </c>
    </row>
    <row r="152" spans="1:2" x14ac:dyDescent="0.25">
      <c r="A152" t="s">
        <v>71</v>
      </c>
      <c r="B152" s="2">
        <v>29</v>
      </c>
    </row>
    <row r="153" spans="1:2" x14ac:dyDescent="0.25">
      <c r="A153" t="s">
        <v>72</v>
      </c>
      <c r="B153" s="2">
        <v>30</v>
      </c>
    </row>
    <row r="154" spans="1:2" x14ac:dyDescent="0.25">
      <c r="A154" t="s">
        <v>73</v>
      </c>
      <c r="B154" s="2">
        <v>31</v>
      </c>
    </row>
    <row r="155" spans="1:2" x14ac:dyDescent="0.25">
      <c r="A155" t="s">
        <v>74</v>
      </c>
      <c r="B155" s="2">
        <v>32</v>
      </c>
    </row>
    <row r="156" spans="1:2" x14ac:dyDescent="0.25">
      <c r="A156" t="s">
        <v>980</v>
      </c>
      <c r="B156" s="2">
        <v>33</v>
      </c>
    </row>
    <row r="157" spans="1:2" x14ac:dyDescent="0.25">
      <c r="A157" t="s">
        <v>981</v>
      </c>
      <c r="B157" s="2">
        <v>34</v>
      </c>
    </row>
    <row r="158" spans="1:2" x14ac:dyDescent="0.25">
      <c r="A158" t="s">
        <v>982</v>
      </c>
      <c r="B158" s="2">
        <v>35</v>
      </c>
    </row>
    <row r="159" spans="1:2" x14ac:dyDescent="0.25">
      <c r="A159" t="s">
        <v>983</v>
      </c>
      <c r="B159" s="2">
        <v>36</v>
      </c>
    </row>
    <row r="160" spans="1:2" x14ac:dyDescent="0.25">
      <c r="A160" t="s">
        <v>984</v>
      </c>
      <c r="B160" s="2">
        <v>37</v>
      </c>
    </row>
    <row r="161" spans="1:2" x14ac:dyDescent="0.25">
      <c r="A161" t="s">
        <v>985</v>
      </c>
      <c r="B161" s="2">
        <v>38</v>
      </c>
    </row>
    <row r="162" spans="1:2" x14ac:dyDescent="0.25">
      <c r="A162" t="s">
        <v>75</v>
      </c>
      <c r="B162" s="2">
        <v>39</v>
      </c>
    </row>
    <row r="163" spans="1:2" x14ac:dyDescent="0.25">
      <c r="A163" t="s">
        <v>76</v>
      </c>
      <c r="B163" s="2">
        <v>40</v>
      </c>
    </row>
    <row r="164" spans="1:2" x14ac:dyDescent="0.25">
      <c r="A164" t="s">
        <v>77</v>
      </c>
      <c r="B164" s="2">
        <v>41</v>
      </c>
    </row>
    <row r="165" spans="1:2" x14ac:dyDescent="0.25">
      <c r="A165" t="s">
        <v>78</v>
      </c>
      <c r="B165" s="2">
        <v>43</v>
      </c>
    </row>
    <row r="166" spans="1:2" x14ac:dyDescent="0.25">
      <c r="A166" t="s">
        <v>714</v>
      </c>
      <c r="B166" s="2">
        <v>44</v>
      </c>
    </row>
    <row r="167" spans="1:2" x14ac:dyDescent="0.25">
      <c r="A167" t="s">
        <v>711</v>
      </c>
      <c r="B167" s="2">
        <v>45</v>
      </c>
    </row>
    <row r="168" spans="1:2" x14ac:dyDescent="0.25">
      <c r="A168" t="s">
        <v>712</v>
      </c>
      <c r="B168" s="2">
        <v>46</v>
      </c>
    </row>
    <row r="169" spans="1:2" x14ac:dyDescent="0.25">
      <c r="A169" t="s">
        <v>713</v>
      </c>
      <c r="B169" s="2">
        <v>47</v>
      </c>
    </row>
    <row r="170" spans="1:2" x14ac:dyDescent="0.25">
      <c r="A170" t="s">
        <v>79</v>
      </c>
      <c r="B170" s="2">
        <v>48</v>
      </c>
    </row>
    <row r="171" spans="1:2" x14ac:dyDescent="0.25">
      <c r="A171" t="s">
        <v>80</v>
      </c>
      <c r="B171" s="2">
        <v>49</v>
      </c>
    </row>
    <row r="172" spans="1:2" x14ac:dyDescent="0.25">
      <c r="A172" t="s">
        <v>81</v>
      </c>
      <c r="B172" s="2">
        <v>50</v>
      </c>
    </row>
    <row r="173" spans="1:2" x14ac:dyDescent="0.25">
      <c r="A173" t="s">
        <v>82</v>
      </c>
      <c r="B173" s="2">
        <v>51</v>
      </c>
    </row>
    <row r="174" spans="1:2" x14ac:dyDescent="0.25">
      <c r="A174" t="s">
        <v>83</v>
      </c>
      <c r="B174" s="2">
        <v>52</v>
      </c>
    </row>
    <row r="175" spans="1:2" x14ac:dyDescent="0.25">
      <c r="A175" t="s">
        <v>84</v>
      </c>
      <c r="B175" s="2">
        <v>53</v>
      </c>
    </row>
    <row r="176" spans="1:2" x14ac:dyDescent="0.25">
      <c r="A176" t="s">
        <v>85</v>
      </c>
      <c r="B176" s="2">
        <v>54</v>
      </c>
    </row>
    <row r="177" spans="1:2" x14ac:dyDescent="0.25">
      <c r="A177" t="s">
        <v>86</v>
      </c>
      <c r="B177" s="2">
        <v>55</v>
      </c>
    </row>
    <row r="178" spans="1:2" x14ac:dyDescent="0.25">
      <c r="A178" t="s">
        <v>87</v>
      </c>
      <c r="B178" s="2">
        <v>56</v>
      </c>
    </row>
    <row r="179" spans="1:2" x14ac:dyDescent="0.25">
      <c r="A179" t="s">
        <v>88</v>
      </c>
      <c r="B179" s="2">
        <v>57</v>
      </c>
    </row>
    <row r="180" spans="1:2" x14ac:dyDescent="0.25">
      <c r="A180" t="s">
        <v>89</v>
      </c>
      <c r="B180" s="2">
        <v>58</v>
      </c>
    </row>
    <row r="181" spans="1:2" x14ac:dyDescent="0.25">
      <c r="A181" t="s">
        <v>90</v>
      </c>
      <c r="B181" s="2">
        <v>59</v>
      </c>
    </row>
    <row r="182" spans="1:2" x14ac:dyDescent="0.25">
      <c r="A182" t="s">
        <v>91</v>
      </c>
      <c r="B182" s="2">
        <v>60</v>
      </c>
    </row>
    <row r="183" spans="1:2" x14ac:dyDescent="0.25">
      <c r="A183" t="s">
        <v>92</v>
      </c>
      <c r="B183" s="2">
        <v>61</v>
      </c>
    </row>
    <row r="184" spans="1:2" x14ac:dyDescent="0.25">
      <c r="A184" t="s">
        <v>93</v>
      </c>
      <c r="B184" s="2">
        <v>62</v>
      </c>
    </row>
    <row r="185" spans="1:2" x14ac:dyDescent="0.25">
      <c r="A185" t="s">
        <v>94</v>
      </c>
      <c r="B185" s="2">
        <v>63</v>
      </c>
    </row>
    <row r="186" spans="1:2" x14ac:dyDescent="0.25">
      <c r="A186" t="s">
        <v>986</v>
      </c>
      <c r="B186" s="2">
        <v>64</v>
      </c>
    </row>
    <row r="187" spans="1:2" x14ac:dyDescent="0.25">
      <c r="A187" t="s">
        <v>987</v>
      </c>
      <c r="B187" s="2">
        <v>65</v>
      </c>
    </row>
    <row r="188" spans="1:2" x14ac:dyDescent="0.25">
      <c r="A188" t="s">
        <v>988</v>
      </c>
      <c r="B188" s="2">
        <v>66</v>
      </c>
    </row>
    <row r="189" spans="1:2" x14ac:dyDescent="0.25">
      <c r="A189" t="s">
        <v>989</v>
      </c>
      <c r="B189" s="2">
        <v>67</v>
      </c>
    </row>
    <row r="190" spans="1:2" x14ac:dyDescent="0.25">
      <c r="A190" t="s">
        <v>990</v>
      </c>
      <c r="B190" s="2">
        <v>68</v>
      </c>
    </row>
    <row r="191" spans="1:2" x14ac:dyDescent="0.25">
      <c r="A191" t="s">
        <v>991</v>
      </c>
      <c r="B191" s="2">
        <v>69</v>
      </c>
    </row>
    <row r="192" spans="1:2" x14ac:dyDescent="0.25">
      <c r="A192" t="s">
        <v>95</v>
      </c>
      <c r="B192" s="2">
        <v>70</v>
      </c>
    </row>
    <row r="193" spans="1:2" x14ac:dyDescent="0.25">
      <c r="A193" t="s">
        <v>96</v>
      </c>
      <c r="B193" s="2">
        <v>71</v>
      </c>
    </row>
    <row r="194" spans="1:2" x14ac:dyDescent="0.25">
      <c r="A194" t="s">
        <v>97</v>
      </c>
      <c r="B194" s="2">
        <v>72</v>
      </c>
    </row>
    <row r="195" spans="1:2" x14ac:dyDescent="0.25">
      <c r="A195" t="s">
        <v>98</v>
      </c>
      <c r="B195" s="3" t="s">
        <v>992</v>
      </c>
    </row>
    <row r="196" spans="1:2" x14ac:dyDescent="0.25">
      <c r="A196" t="s">
        <v>99</v>
      </c>
      <c r="B196" s="3" t="s">
        <v>993</v>
      </c>
    </row>
    <row r="197" spans="1:2" x14ac:dyDescent="0.25">
      <c r="A197" t="s">
        <v>593</v>
      </c>
      <c r="B197" s="3" t="s">
        <v>994</v>
      </c>
    </row>
    <row r="198" spans="1:2" x14ac:dyDescent="0.25">
      <c r="A198" t="s">
        <v>594</v>
      </c>
      <c r="B198" s="3" t="s">
        <v>995</v>
      </c>
    </row>
    <row r="199" spans="1:2" x14ac:dyDescent="0.25">
      <c r="A199" t="s">
        <v>595</v>
      </c>
      <c r="B199" s="3" t="s">
        <v>996</v>
      </c>
    </row>
    <row r="200" spans="1:2" x14ac:dyDescent="0.25">
      <c r="A200" t="s">
        <v>596</v>
      </c>
      <c r="B200" s="3" t="s">
        <v>997</v>
      </c>
    </row>
    <row r="201" spans="1:2" x14ac:dyDescent="0.25">
      <c r="A201" t="s">
        <v>597</v>
      </c>
      <c r="B201" s="3" t="s">
        <v>998</v>
      </c>
    </row>
    <row r="202" spans="1:2" x14ac:dyDescent="0.25">
      <c r="A202" s="5" t="s">
        <v>598</v>
      </c>
      <c r="B202" s="3" t="s">
        <v>999</v>
      </c>
    </row>
    <row r="203" spans="1:2" x14ac:dyDescent="0.25">
      <c r="A203" t="s">
        <v>619</v>
      </c>
      <c r="B203" s="3" t="s">
        <v>1000</v>
      </c>
    </row>
    <row r="204" spans="1:2" x14ac:dyDescent="0.25">
      <c r="A204" t="s">
        <v>620</v>
      </c>
      <c r="B204" s="3" t="s">
        <v>1001</v>
      </c>
    </row>
    <row r="205" spans="1:2" x14ac:dyDescent="0.25">
      <c r="A205" t="s">
        <v>621</v>
      </c>
      <c r="B205" s="3" t="s">
        <v>1002</v>
      </c>
    </row>
    <row r="206" spans="1:2" x14ac:dyDescent="0.25">
      <c r="A206" t="s">
        <v>622</v>
      </c>
      <c r="B206" s="3" t="s">
        <v>1003</v>
      </c>
    </row>
    <row r="207" spans="1:2" x14ac:dyDescent="0.25">
      <c r="A207" t="s">
        <v>623</v>
      </c>
      <c r="B207" s="3" t="s">
        <v>1004</v>
      </c>
    </row>
    <row r="208" spans="1:2" x14ac:dyDescent="0.25">
      <c r="A208" s="5" t="s">
        <v>624</v>
      </c>
      <c r="B208" s="3" t="s">
        <v>1005</v>
      </c>
    </row>
    <row r="209" spans="1:2" x14ac:dyDescent="0.25">
      <c r="A209" s="6" t="s">
        <v>625</v>
      </c>
      <c r="B209" s="3" t="s">
        <v>1006</v>
      </c>
    </row>
    <row r="210" spans="1:2" s="6" customFormat="1" x14ac:dyDescent="0.25">
      <c r="A210" t="s">
        <v>1131</v>
      </c>
      <c r="B210" s="9" t="s">
        <v>1145</v>
      </c>
    </row>
    <row r="211" spans="1:2" s="6" customFormat="1" x14ac:dyDescent="0.25">
      <c r="A211" t="s">
        <v>1132</v>
      </c>
      <c r="B211" s="9" t="s">
        <v>1146</v>
      </c>
    </row>
    <row r="212" spans="1:2" s="6" customFormat="1" x14ac:dyDescent="0.25">
      <c r="A212" t="s">
        <v>1133</v>
      </c>
      <c r="B212" s="9" t="s">
        <v>1147</v>
      </c>
    </row>
    <row r="213" spans="1:2" s="6" customFormat="1" x14ac:dyDescent="0.25">
      <c r="A213" t="s">
        <v>1134</v>
      </c>
      <c r="B213" s="9" t="s">
        <v>1148</v>
      </c>
    </row>
    <row r="214" spans="1:2" s="6" customFormat="1" x14ac:dyDescent="0.25">
      <c r="A214" t="s">
        <v>1135</v>
      </c>
      <c r="B214" s="9" t="s">
        <v>1149</v>
      </c>
    </row>
    <row r="215" spans="1:2" s="6" customFormat="1" x14ac:dyDescent="0.25">
      <c r="A215" t="s">
        <v>1136</v>
      </c>
      <c r="B215" s="9" t="s">
        <v>1150</v>
      </c>
    </row>
    <row r="216" spans="1:2" s="6" customFormat="1" x14ac:dyDescent="0.25">
      <c r="A216" t="s">
        <v>1137</v>
      </c>
      <c r="B216" s="9" t="s">
        <v>1151</v>
      </c>
    </row>
    <row r="217" spans="1:2" s="6" customFormat="1" x14ac:dyDescent="0.25">
      <c r="A217" t="s">
        <v>1138</v>
      </c>
      <c r="B217" s="9" t="s">
        <v>1152</v>
      </c>
    </row>
    <row r="218" spans="1:2" s="6" customFormat="1" x14ac:dyDescent="0.25">
      <c r="A218" t="s">
        <v>1139</v>
      </c>
      <c r="B218" s="9" t="s">
        <v>1153</v>
      </c>
    </row>
    <row r="219" spans="1:2" s="6" customFormat="1" x14ac:dyDescent="0.25">
      <c r="A219" s="5" t="s">
        <v>1140</v>
      </c>
      <c r="B219" s="9" t="s">
        <v>1154</v>
      </c>
    </row>
    <row r="220" spans="1:2" s="6" customFormat="1" x14ac:dyDescent="0.25">
      <c r="A220" s="6" t="s">
        <v>1141</v>
      </c>
      <c r="B220" s="9" t="s">
        <v>1155</v>
      </c>
    </row>
    <row r="221" spans="1:2" s="6" customFormat="1" x14ac:dyDescent="0.25">
      <c r="A221" s="6" t="s">
        <v>1142</v>
      </c>
      <c r="B221" s="9" t="s">
        <v>1156</v>
      </c>
    </row>
    <row r="222" spans="1:2" s="6" customFormat="1" x14ac:dyDescent="0.25">
      <c r="A222" s="6" t="s">
        <v>1143</v>
      </c>
      <c r="B222" s="9" t="s">
        <v>1157</v>
      </c>
    </row>
    <row r="223" spans="1:2" s="6" customFormat="1" x14ac:dyDescent="0.25">
      <c r="A223" s="6" t="s">
        <v>1144</v>
      </c>
      <c r="B223" s="9" t="s">
        <v>1158</v>
      </c>
    </row>
    <row r="224" spans="1:2" x14ac:dyDescent="0.25">
      <c r="A224" t="s">
        <v>918</v>
      </c>
      <c r="B224" s="9" t="s">
        <v>1159</v>
      </c>
    </row>
    <row r="225" spans="1:2" x14ac:dyDescent="0.25">
      <c r="A225" t="s">
        <v>919</v>
      </c>
      <c r="B225" s="9" t="s">
        <v>1160</v>
      </c>
    </row>
    <row r="226" spans="1:2" x14ac:dyDescent="0.25">
      <c r="A226" t="s">
        <v>920</v>
      </c>
      <c r="B226" s="9" t="s">
        <v>1161</v>
      </c>
    </row>
    <row r="227" spans="1:2" x14ac:dyDescent="0.25">
      <c r="A227" t="s">
        <v>921</v>
      </c>
      <c r="B227" s="9" t="s">
        <v>1162</v>
      </c>
    </row>
    <row r="228" spans="1:2" x14ac:dyDescent="0.25">
      <c r="A228" t="s">
        <v>280</v>
      </c>
      <c r="B228" s="9" t="s">
        <v>1163</v>
      </c>
    </row>
    <row r="229" spans="1:2" x14ac:dyDescent="0.25">
      <c r="A229" t="s">
        <v>279</v>
      </c>
      <c r="B229" s="9" t="s">
        <v>1164</v>
      </c>
    </row>
    <row r="230" spans="1:2" x14ac:dyDescent="0.25">
      <c r="A230" t="s">
        <v>543</v>
      </c>
      <c r="B230" s="9" t="s">
        <v>1165</v>
      </c>
    </row>
    <row r="231" spans="1:2" x14ac:dyDescent="0.25">
      <c r="A231" t="s">
        <v>544</v>
      </c>
      <c r="B231" s="9" t="s">
        <v>1166</v>
      </c>
    </row>
    <row r="232" spans="1:2" x14ac:dyDescent="0.25">
      <c r="A232" t="s">
        <v>548</v>
      </c>
      <c r="B232" s="9" t="s">
        <v>1167</v>
      </c>
    </row>
    <row r="233" spans="1:2" x14ac:dyDescent="0.25">
      <c r="A233" s="5" t="s">
        <v>549</v>
      </c>
      <c r="B233" s="9" t="s">
        <v>1168</v>
      </c>
    </row>
    <row r="234" spans="1:2" x14ac:dyDescent="0.25">
      <c r="A234" s="6" t="s">
        <v>550</v>
      </c>
      <c r="B234" s="9" t="s">
        <v>1169</v>
      </c>
    </row>
    <row r="235" spans="1:2" x14ac:dyDescent="0.25">
      <c r="A235" s="6" t="s">
        <v>551</v>
      </c>
      <c r="B235" s="9" t="s">
        <v>1170</v>
      </c>
    </row>
    <row r="236" spans="1:2" x14ac:dyDescent="0.25">
      <c r="A236" s="6" t="s">
        <v>552</v>
      </c>
      <c r="B236" s="9" t="s">
        <v>1171</v>
      </c>
    </row>
    <row r="237" spans="1:2" x14ac:dyDescent="0.25">
      <c r="A237" t="s">
        <v>194</v>
      </c>
      <c r="B237" s="2">
        <v>1</v>
      </c>
    </row>
    <row r="238" spans="1:2" x14ac:dyDescent="0.25">
      <c r="A238" t="s">
        <v>195</v>
      </c>
      <c r="B238" s="2">
        <v>2</v>
      </c>
    </row>
    <row r="239" spans="1:2" x14ac:dyDescent="0.25">
      <c r="A239" t="s">
        <v>196</v>
      </c>
      <c r="B239" s="2">
        <v>3</v>
      </c>
    </row>
    <row r="240" spans="1:2" x14ac:dyDescent="0.25">
      <c r="A240" t="s">
        <v>197</v>
      </c>
      <c r="B240" s="2">
        <v>4</v>
      </c>
    </row>
    <row r="241" spans="1:2" x14ac:dyDescent="0.25">
      <c r="A241" t="s">
        <v>198</v>
      </c>
      <c r="B241" s="2">
        <v>5</v>
      </c>
    </row>
    <row r="242" spans="1:2" x14ac:dyDescent="0.25">
      <c r="A242" t="s">
        <v>723</v>
      </c>
      <c r="B242" s="2">
        <v>6</v>
      </c>
    </row>
    <row r="243" spans="1:2" x14ac:dyDescent="0.25">
      <c r="A243" t="s">
        <v>911</v>
      </c>
      <c r="B243" s="2">
        <v>7</v>
      </c>
    </row>
    <row r="244" spans="1:2" x14ac:dyDescent="0.25">
      <c r="A244" t="s">
        <v>723</v>
      </c>
      <c r="B244" s="2">
        <v>8</v>
      </c>
    </row>
    <row r="245" spans="1:2" x14ac:dyDescent="0.25">
      <c r="A245" t="s">
        <v>199</v>
      </c>
      <c r="B245" s="2">
        <v>9</v>
      </c>
    </row>
    <row r="246" spans="1:2" x14ac:dyDescent="0.25">
      <c r="A246" t="s">
        <v>200</v>
      </c>
      <c r="B246" s="2">
        <v>10</v>
      </c>
    </row>
    <row r="247" spans="1:2" x14ac:dyDescent="0.25">
      <c r="A247" t="s">
        <v>201</v>
      </c>
      <c r="B247" s="2">
        <v>12</v>
      </c>
    </row>
    <row r="248" spans="1:2" x14ac:dyDescent="0.25">
      <c r="A248" t="s">
        <v>718</v>
      </c>
      <c r="B248" s="2">
        <v>13</v>
      </c>
    </row>
    <row r="249" spans="1:2" x14ac:dyDescent="0.25">
      <c r="A249" t="s">
        <v>715</v>
      </c>
      <c r="B249" s="2">
        <v>14</v>
      </c>
    </row>
    <row r="250" spans="1:2" x14ac:dyDescent="0.25">
      <c r="A250" t="s">
        <v>716</v>
      </c>
      <c r="B250" s="2">
        <v>15</v>
      </c>
    </row>
    <row r="251" spans="1:2" x14ac:dyDescent="0.25">
      <c r="A251" t="s">
        <v>717</v>
      </c>
      <c r="B251" s="2">
        <v>16</v>
      </c>
    </row>
    <row r="252" spans="1:2" x14ac:dyDescent="0.25">
      <c r="A252" t="s">
        <v>202</v>
      </c>
      <c r="B252" s="2">
        <v>17</v>
      </c>
    </row>
    <row r="253" spans="1:2" x14ac:dyDescent="0.25">
      <c r="A253" t="s">
        <v>203</v>
      </c>
      <c r="B253" s="2">
        <v>18</v>
      </c>
    </row>
    <row r="254" spans="1:2" x14ac:dyDescent="0.25">
      <c r="A254" t="s">
        <v>204</v>
      </c>
      <c r="B254" s="2">
        <v>19</v>
      </c>
    </row>
    <row r="255" spans="1:2" x14ac:dyDescent="0.25">
      <c r="A255" t="s">
        <v>205</v>
      </c>
      <c r="B255" s="2">
        <v>20</v>
      </c>
    </row>
    <row r="256" spans="1:2" x14ac:dyDescent="0.25">
      <c r="A256" t="s">
        <v>206</v>
      </c>
      <c r="B256" s="2">
        <v>21</v>
      </c>
    </row>
    <row r="257" spans="1:2" x14ac:dyDescent="0.25">
      <c r="A257" t="s">
        <v>207</v>
      </c>
      <c r="B257" s="2">
        <v>22</v>
      </c>
    </row>
    <row r="258" spans="1:2" x14ac:dyDescent="0.25">
      <c r="A258" t="s">
        <v>208</v>
      </c>
      <c r="B258" s="2">
        <v>23</v>
      </c>
    </row>
    <row r="259" spans="1:2" x14ac:dyDescent="0.25">
      <c r="A259" t="s">
        <v>209</v>
      </c>
      <c r="B259" s="2">
        <v>24</v>
      </c>
    </row>
    <row r="260" spans="1:2" x14ac:dyDescent="0.25">
      <c r="A260" t="s">
        <v>210</v>
      </c>
      <c r="B260" s="2">
        <v>25</v>
      </c>
    </row>
    <row r="261" spans="1:2" x14ac:dyDescent="0.25">
      <c r="A261" t="s">
        <v>211</v>
      </c>
      <c r="B261" s="2">
        <v>26</v>
      </c>
    </row>
    <row r="262" spans="1:2" x14ac:dyDescent="0.25">
      <c r="A262" t="s">
        <v>212</v>
      </c>
      <c r="B262" s="2">
        <v>27</v>
      </c>
    </row>
    <row r="263" spans="1:2" x14ac:dyDescent="0.25">
      <c r="A263" t="s">
        <v>213</v>
      </c>
      <c r="B263" s="2">
        <v>28</v>
      </c>
    </row>
    <row r="264" spans="1:2" x14ac:dyDescent="0.25">
      <c r="A264" t="s">
        <v>214</v>
      </c>
      <c r="B264" s="2">
        <v>29</v>
      </c>
    </row>
    <row r="265" spans="1:2" x14ac:dyDescent="0.25">
      <c r="A265" t="s">
        <v>215</v>
      </c>
      <c r="B265" s="2">
        <v>30</v>
      </c>
    </row>
    <row r="266" spans="1:2" x14ac:dyDescent="0.25">
      <c r="A266" t="s">
        <v>216</v>
      </c>
      <c r="B266" s="2">
        <v>31</v>
      </c>
    </row>
    <row r="267" spans="1:2" x14ac:dyDescent="0.25">
      <c r="A267" t="s">
        <v>217</v>
      </c>
      <c r="B267" s="2">
        <v>32</v>
      </c>
    </row>
    <row r="268" spans="1:2" x14ac:dyDescent="0.25">
      <c r="A268" t="s">
        <v>218</v>
      </c>
      <c r="B268" s="2">
        <v>33</v>
      </c>
    </row>
    <row r="269" spans="1:2" x14ac:dyDescent="0.25">
      <c r="A269" t="s">
        <v>219</v>
      </c>
      <c r="B269" s="2">
        <v>34</v>
      </c>
    </row>
    <row r="270" spans="1:2" x14ac:dyDescent="0.25">
      <c r="A270" t="s">
        <v>220</v>
      </c>
      <c r="B270" s="2">
        <v>35</v>
      </c>
    </row>
    <row r="271" spans="1:2" x14ac:dyDescent="0.25">
      <c r="A271" t="s">
        <v>221</v>
      </c>
      <c r="B271" s="2">
        <v>36</v>
      </c>
    </row>
    <row r="272" spans="1:2" x14ac:dyDescent="0.25">
      <c r="A272" t="s">
        <v>1007</v>
      </c>
      <c r="B272" s="2">
        <v>37</v>
      </c>
    </row>
    <row r="273" spans="1:2" x14ac:dyDescent="0.25">
      <c r="A273" t="s">
        <v>1008</v>
      </c>
      <c r="B273" s="2">
        <v>38</v>
      </c>
    </row>
    <row r="274" spans="1:2" x14ac:dyDescent="0.25">
      <c r="A274" t="s">
        <v>1009</v>
      </c>
      <c r="B274" s="2">
        <v>39</v>
      </c>
    </row>
    <row r="275" spans="1:2" x14ac:dyDescent="0.25">
      <c r="A275" t="s">
        <v>1010</v>
      </c>
      <c r="B275" s="2">
        <v>40</v>
      </c>
    </row>
    <row r="276" spans="1:2" x14ac:dyDescent="0.25">
      <c r="A276" t="s">
        <v>1011</v>
      </c>
      <c r="B276" s="2">
        <v>41</v>
      </c>
    </row>
    <row r="277" spans="1:2" x14ac:dyDescent="0.25">
      <c r="A277" t="s">
        <v>1012</v>
      </c>
      <c r="B277" s="2">
        <v>42</v>
      </c>
    </row>
    <row r="278" spans="1:2" x14ac:dyDescent="0.25">
      <c r="A278" t="s">
        <v>222</v>
      </c>
      <c r="B278" s="2">
        <v>43</v>
      </c>
    </row>
    <row r="279" spans="1:2" x14ac:dyDescent="0.25">
      <c r="A279" t="s">
        <v>223</v>
      </c>
      <c r="B279" s="2">
        <v>44</v>
      </c>
    </row>
    <row r="280" spans="1:2" x14ac:dyDescent="0.25">
      <c r="A280" t="s">
        <v>224</v>
      </c>
      <c r="B280" s="2">
        <v>45</v>
      </c>
    </row>
    <row r="281" spans="1:2" x14ac:dyDescent="0.25">
      <c r="A281" t="s">
        <v>225</v>
      </c>
      <c r="B281" s="2">
        <v>47</v>
      </c>
    </row>
    <row r="282" spans="1:2" x14ac:dyDescent="0.25">
      <c r="A282" t="s">
        <v>719</v>
      </c>
      <c r="B282" s="2">
        <v>48</v>
      </c>
    </row>
    <row r="283" spans="1:2" x14ac:dyDescent="0.25">
      <c r="A283" t="s">
        <v>720</v>
      </c>
      <c r="B283" s="2">
        <v>49</v>
      </c>
    </row>
    <row r="284" spans="1:2" x14ac:dyDescent="0.25">
      <c r="A284" t="s">
        <v>721</v>
      </c>
      <c r="B284" s="2">
        <v>50</v>
      </c>
    </row>
    <row r="285" spans="1:2" x14ac:dyDescent="0.25">
      <c r="A285" t="s">
        <v>722</v>
      </c>
      <c r="B285" s="2">
        <v>51</v>
      </c>
    </row>
    <row r="286" spans="1:2" x14ac:dyDescent="0.25">
      <c r="A286" t="s">
        <v>226</v>
      </c>
      <c r="B286" s="2">
        <v>52</v>
      </c>
    </row>
    <row r="287" spans="1:2" x14ac:dyDescent="0.25">
      <c r="A287" t="s">
        <v>227</v>
      </c>
      <c r="B287" s="2">
        <v>53</v>
      </c>
    </row>
    <row r="288" spans="1:2" x14ac:dyDescent="0.25">
      <c r="A288" t="s">
        <v>228</v>
      </c>
      <c r="B288" s="2">
        <v>54</v>
      </c>
    </row>
    <row r="289" spans="1:2" x14ac:dyDescent="0.25">
      <c r="A289" t="s">
        <v>229</v>
      </c>
      <c r="B289" s="2">
        <v>55</v>
      </c>
    </row>
    <row r="290" spans="1:2" x14ac:dyDescent="0.25">
      <c r="A290" t="s">
        <v>230</v>
      </c>
      <c r="B290" s="2">
        <v>56</v>
      </c>
    </row>
    <row r="291" spans="1:2" x14ac:dyDescent="0.25">
      <c r="A291" t="s">
        <v>231</v>
      </c>
      <c r="B291" s="2">
        <v>57</v>
      </c>
    </row>
    <row r="292" spans="1:2" x14ac:dyDescent="0.25">
      <c r="A292" t="s">
        <v>232</v>
      </c>
      <c r="B292" s="2">
        <v>58</v>
      </c>
    </row>
    <row r="293" spans="1:2" x14ac:dyDescent="0.25">
      <c r="A293" t="s">
        <v>233</v>
      </c>
      <c r="B293" s="2">
        <v>59</v>
      </c>
    </row>
    <row r="294" spans="1:2" x14ac:dyDescent="0.25">
      <c r="A294" t="s">
        <v>234</v>
      </c>
      <c r="B294" s="2">
        <v>60</v>
      </c>
    </row>
    <row r="295" spans="1:2" x14ac:dyDescent="0.25">
      <c r="A295" t="s">
        <v>235</v>
      </c>
      <c r="B295" s="2">
        <v>61</v>
      </c>
    </row>
    <row r="296" spans="1:2" x14ac:dyDescent="0.25">
      <c r="A296" t="s">
        <v>236</v>
      </c>
      <c r="B296" s="2">
        <v>62</v>
      </c>
    </row>
    <row r="297" spans="1:2" x14ac:dyDescent="0.25">
      <c r="A297" t="s">
        <v>237</v>
      </c>
      <c r="B297" s="2">
        <v>63</v>
      </c>
    </row>
    <row r="298" spans="1:2" x14ac:dyDescent="0.25">
      <c r="A298" t="s">
        <v>238</v>
      </c>
      <c r="B298" s="2">
        <v>64</v>
      </c>
    </row>
    <row r="299" spans="1:2" x14ac:dyDescent="0.25">
      <c r="A299" t="s">
        <v>239</v>
      </c>
      <c r="B299" s="2">
        <v>65</v>
      </c>
    </row>
    <row r="300" spans="1:2" x14ac:dyDescent="0.25">
      <c r="A300" t="s">
        <v>240</v>
      </c>
      <c r="B300" s="2">
        <v>66</v>
      </c>
    </row>
    <row r="301" spans="1:2" x14ac:dyDescent="0.25">
      <c r="A301" t="s">
        <v>241</v>
      </c>
      <c r="B301" s="2">
        <v>67</v>
      </c>
    </row>
    <row r="302" spans="1:2" x14ac:dyDescent="0.25">
      <c r="A302" t="s">
        <v>242</v>
      </c>
      <c r="B302" s="2">
        <v>68</v>
      </c>
    </row>
    <row r="303" spans="1:2" x14ac:dyDescent="0.25">
      <c r="A303" t="s">
        <v>243</v>
      </c>
      <c r="B303" s="2">
        <v>69</v>
      </c>
    </row>
    <row r="304" spans="1:2" x14ac:dyDescent="0.25">
      <c r="A304" t="s">
        <v>244</v>
      </c>
      <c r="B304" s="2">
        <v>70</v>
      </c>
    </row>
    <row r="305" spans="1:2" x14ac:dyDescent="0.25">
      <c r="A305" t="s">
        <v>245</v>
      </c>
      <c r="B305" s="2">
        <v>71</v>
      </c>
    </row>
    <row r="306" spans="1:2" x14ac:dyDescent="0.25">
      <c r="A306" t="s">
        <v>1013</v>
      </c>
      <c r="B306" s="2">
        <v>72</v>
      </c>
    </row>
    <row r="307" spans="1:2" x14ac:dyDescent="0.25">
      <c r="A307" t="s">
        <v>1014</v>
      </c>
      <c r="B307" s="2">
        <v>73</v>
      </c>
    </row>
    <row r="308" spans="1:2" x14ac:dyDescent="0.25">
      <c r="A308" t="s">
        <v>1015</v>
      </c>
      <c r="B308" s="2">
        <v>74</v>
      </c>
    </row>
    <row r="309" spans="1:2" x14ac:dyDescent="0.25">
      <c r="A309" t="s">
        <v>1016</v>
      </c>
      <c r="B309" s="2">
        <v>75</v>
      </c>
    </row>
    <row r="310" spans="1:2" x14ac:dyDescent="0.25">
      <c r="A310" t="s">
        <v>1017</v>
      </c>
      <c r="B310" s="2">
        <v>76</v>
      </c>
    </row>
    <row r="311" spans="1:2" x14ac:dyDescent="0.25">
      <c r="A311" t="s">
        <v>1018</v>
      </c>
      <c r="B311" s="2">
        <v>77</v>
      </c>
    </row>
    <row r="312" spans="1:2" x14ac:dyDescent="0.25">
      <c r="A312" t="s">
        <v>246</v>
      </c>
      <c r="B312" s="2">
        <v>78</v>
      </c>
    </row>
    <row r="313" spans="1:2" x14ac:dyDescent="0.25">
      <c r="A313" t="s">
        <v>247</v>
      </c>
      <c r="B313" s="2">
        <v>79</v>
      </c>
    </row>
    <row r="314" spans="1:2" x14ac:dyDescent="0.25">
      <c r="A314" t="s">
        <v>248</v>
      </c>
      <c r="B314" s="2">
        <v>80</v>
      </c>
    </row>
    <row r="315" spans="1:2" x14ac:dyDescent="0.25">
      <c r="A315" t="s">
        <v>1019</v>
      </c>
      <c r="B315" s="2">
        <v>82</v>
      </c>
    </row>
    <row r="316" spans="1:2" x14ac:dyDescent="0.25">
      <c r="A316" t="s">
        <v>1020</v>
      </c>
      <c r="B316" s="2">
        <v>83</v>
      </c>
    </row>
    <row r="317" spans="1:2" x14ac:dyDescent="0.25">
      <c r="A317" t="s">
        <v>1021</v>
      </c>
      <c r="B317" s="2">
        <v>84</v>
      </c>
    </row>
    <row r="318" spans="1:2" x14ac:dyDescent="0.25">
      <c r="A318" t="s">
        <v>1022</v>
      </c>
      <c r="B318" s="2">
        <v>85</v>
      </c>
    </row>
    <row r="319" spans="1:2" x14ac:dyDescent="0.25">
      <c r="A319" t="s">
        <v>1023</v>
      </c>
      <c r="B319" s="2">
        <v>86</v>
      </c>
    </row>
    <row r="320" spans="1:2" x14ac:dyDescent="0.25">
      <c r="A320" t="s">
        <v>1024</v>
      </c>
      <c r="B320" s="2">
        <v>87</v>
      </c>
    </row>
    <row r="321" spans="1:2" x14ac:dyDescent="0.25">
      <c r="A321" t="s">
        <v>1025</v>
      </c>
      <c r="B321" s="2">
        <v>88</v>
      </c>
    </row>
    <row r="322" spans="1:2" x14ac:dyDescent="0.25">
      <c r="A322" t="s">
        <v>1026</v>
      </c>
      <c r="B322" s="2">
        <v>89</v>
      </c>
    </row>
    <row r="323" spans="1:2" x14ac:dyDescent="0.25">
      <c r="A323" t="s">
        <v>249</v>
      </c>
      <c r="B323" s="2">
        <v>90</v>
      </c>
    </row>
    <row r="324" spans="1:2" x14ac:dyDescent="0.25">
      <c r="A324" t="s">
        <v>250</v>
      </c>
      <c r="B324" s="2">
        <v>91</v>
      </c>
    </row>
    <row r="325" spans="1:2" x14ac:dyDescent="0.25">
      <c r="A325" t="s">
        <v>283</v>
      </c>
      <c r="B325" s="2">
        <v>92</v>
      </c>
    </row>
    <row r="326" spans="1:2" x14ac:dyDescent="0.25">
      <c r="A326" t="s">
        <v>284</v>
      </c>
      <c r="B326" s="2">
        <v>93</v>
      </c>
    </row>
    <row r="327" spans="1:2" x14ac:dyDescent="0.25">
      <c r="A327" t="s">
        <v>251</v>
      </c>
      <c r="B327" s="2">
        <v>95</v>
      </c>
    </row>
    <row r="328" spans="1:2" x14ac:dyDescent="0.25">
      <c r="A328" t="s">
        <v>252</v>
      </c>
      <c r="B328" s="2">
        <v>96</v>
      </c>
    </row>
    <row r="329" spans="1:2" x14ac:dyDescent="0.25">
      <c r="A329" t="s">
        <v>253</v>
      </c>
      <c r="B329" s="2">
        <v>97</v>
      </c>
    </row>
    <row r="330" spans="1:2" x14ac:dyDescent="0.25">
      <c r="A330" t="s">
        <v>254</v>
      </c>
      <c r="B330" s="2">
        <v>98</v>
      </c>
    </row>
    <row r="331" spans="1:2" x14ac:dyDescent="0.25">
      <c r="A331" t="s">
        <v>255</v>
      </c>
      <c r="B331" s="2">
        <v>100</v>
      </c>
    </row>
    <row r="332" spans="1:2" x14ac:dyDescent="0.25">
      <c r="A332" t="s">
        <v>256</v>
      </c>
      <c r="B332" s="2">
        <v>101</v>
      </c>
    </row>
    <row r="333" spans="1:2" x14ac:dyDescent="0.25">
      <c r="A333" t="s">
        <v>257</v>
      </c>
      <c r="B333" s="2">
        <v>102</v>
      </c>
    </row>
    <row r="334" spans="1:2" x14ac:dyDescent="0.25">
      <c r="A334" t="s">
        <v>258</v>
      </c>
      <c r="B334" s="2">
        <v>103</v>
      </c>
    </row>
    <row r="335" spans="1:2" x14ac:dyDescent="0.25">
      <c r="A335" t="s">
        <v>259</v>
      </c>
      <c r="B335" s="2">
        <v>105</v>
      </c>
    </row>
    <row r="336" spans="1:2" x14ac:dyDescent="0.25">
      <c r="A336" t="s">
        <v>260</v>
      </c>
      <c r="B336" s="2">
        <v>106</v>
      </c>
    </row>
    <row r="337" spans="1:2" x14ac:dyDescent="0.25">
      <c r="A337" t="s">
        <v>261</v>
      </c>
      <c r="B337" s="2">
        <v>107</v>
      </c>
    </row>
    <row r="338" spans="1:2" x14ac:dyDescent="0.25">
      <c r="A338" t="s">
        <v>262</v>
      </c>
      <c r="B338" s="2">
        <v>108</v>
      </c>
    </row>
    <row r="339" spans="1:2" x14ac:dyDescent="0.25">
      <c r="A339" t="s">
        <v>263</v>
      </c>
      <c r="B339" s="2">
        <v>110</v>
      </c>
    </row>
    <row r="340" spans="1:2" x14ac:dyDescent="0.25">
      <c r="A340" t="s">
        <v>264</v>
      </c>
      <c r="B340" s="2">
        <v>111</v>
      </c>
    </row>
    <row r="341" spans="1:2" x14ac:dyDescent="0.25">
      <c r="A341" t="s">
        <v>265</v>
      </c>
      <c r="B341" s="2">
        <v>112</v>
      </c>
    </row>
    <row r="342" spans="1:2" x14ac:dyDescent="0.25">
      <c r="A342" t="s">
        <v>266</v>
      </c>
      <c r="B342" s="2">
        <v>113</v>
      </c>
    </row>
    <row r="343" spans="1:2" x14ac:dyDescent="0.25">
      <c r="A343" t="s">
        <v>267</v>
      </c>
      <c r="B343" s="3" t="s">
        <v>1027</v>
      </c>
    </row>
    <row r="344" spans="1:2" x14ac:dyDescent="0.25">
      <c r="A344" t="s">
        <v>268</v>
      </c>
      <c r="B344" s="3" t="s">
        <v>1028</v>
      </c>
    </row>
    <row r="345" spans="1:2" x14ac:dyDescent="0.25">
      <c r="A345" t="s">
        <v>599</v>
      </c>
      <c r="B345" s="3" t="s">
        <v>1029</v>
      </c>
    </row>
    <row r="346" spans="1:2" x14ac:dyDescent="0.25">
      <c r="A346" t="s">
        <v>600</v>
      </c>
      <c r="B346" s="3" t="s">
        <v>1030</v>
      </c>
    </row>
    <row r="347" spans="1:2" x14ac:dyDescent="0.25">
      <c r="A347" t="s">
        <v>601</v>
      </c>
      <c r="B347" s="3" t="s">
        <v>1031</v>
      </c>
    </row>
    <row r="348" spans="1:2" x14ac:dyDescent="0.25">
      <c r="A348" t="s">
        <v>602</v>
      </c>
      <c r="B348" s="3" t="s">
        <v>1032</v>
      </c>
    </row>
    <row r="349" spans="1:2" x14ac:dyDescent="0.25">
      <c r="A349" t="s">
        <v>603</v>
      </c>
      <c r="B349" s="3" t="s">
        <v>1033</v>
      </c>
    </row>
    <row r="350" spans="1:2" x14ac:dyDescent="0.25">
      <c r="A350" s="5" t="s">
        <v>604</v>
      </c>
      <c r="B350" s="3" t="s">
        <v>1034</v>
      </c>
    </row>
    <row r="351" spans="1:2" x14ac:dyDescent="0.25">
      <c r="A351" t="s">
        <v>626</v>
      </c>
      <c r="B351" s="3" t="s">
        <v>1035</v>
      </c>
    </row>
    <row r="352" spans="1:2" x14ac:dyDescent="0.25">
      <c r="A352" t="s">
        <v>627</v>
      </c>
      <c r="B352" s="3" t="s">
        <v>1036</v>
      </c>
    </row>
    <row r="353" spans="1:2" x14ac:dyDescent="0.25">
      <c r="A353" t="s">
        <v>628</v>
      </c>
      <c r="B353" s="3" t="s">
        <v>1037</v>
      </c>
    </row>
    <row r="354" spans="1:2" x14ac:dyDescent="0.25">
      <c r="A354" t="s">
        <v>629</v>
      </c>
      <c r="B354" s="3" t="s">
        <v>1038</v>
      </c>
    </row>
    <row r="355" spans="1:2" x14ac:dyDescent="0.25">
      <c r="A355" t="s">
        <v>630</v>
      </c>
      <c r="B355" s="3" t="s">
        <v>1039</v>
      </c>
    </row>
    <row r="356" spans="1:2" x14ac:dyDescent="0.25">
      <c r="A356" s="5" t="s">
        <v>631</v>
      </c>
      <c r="B356" s="3" t="s">
        <v>1040</v>
      </c>
    </row>
    <row r="357" spans="1:2" x14ac:dyDescent="0.25">
      <c r="A357" s="6" t="s">
        <v>632</v>
      </c>
      <c r="B357" s="3" t="s">
        <v>1041</v>
      </c>
    </row>
    <row r="358" spans="1:2" x14ac:dyDescent="0.25">
      <c r="A358" t="s">
        <v>1172</v>
      </c>
      <c r="B358" s="3" t="s">
        <v>1042</v>
      </c>
    </row>
    <row r="359" spans="1:2" x14ac:dyDescent="0.25">
      <c r="A359" t="s">
        <v>1173</v>
      </c>
      <c r="B359" s="3" t="s">
        <v>1043</v>
      </c>
    </row>
    <row r="360" spans="1:2" x14ac:dyDescent="0.25">
      <c r="A360" t="s">
        <v>1174</v>
      </c>
      <c r="B360" s="3" t="s">
        <v>1044</v>
      </c>
    </row>
    <row r="361" spans="1:2" x14ac:dyDescent="0.25">
      <c r="A361" t="s">
        <v>1175</v>
      </c>
      <c r="B361" s="3" t="s">
        <v>1045</v>
      </c>
    </row>
    <row r="362" spans="1:2" x14ac:dyDescent="0.25">
      <c r="A362" t="s">
        <v>1176</v>
      </c>
      <c r="B362" s="3" t="s">
        <v>1046</v>
      </c>
    </row>
    <row r="363" spans="1:2" x14ac:dyDescent="0.25">
      <c r="A363" t="s">
        <v>1177</v>
      </c>
      <c r="B363" s="3" t="s">
        <v>1047</v>
      </c>
    </row>
    <row r="364" spans="1:2" x14ac:dyDescent="0.25">
      <c r="A364" t="s">
        <v>1178</v>
      </c>
      <c r="B364" s="3" t="s">
        <v>1048</v>
      </c>
    </row>
    <row r="365" spans="1:2" x14ac:dyDescent="0.25">
      <c r="A365" t="s">
        <v>1179</v>
      </c>
      <c r="B365" s="3" t="s">
        <v>1049</v>
      </c>
    </row>
    <row r="366" spans="1:2" x14ac:dyDescent="0.25">
      <c r="A366" t="s">
        <v>1180</v>
      </c>
      <c r="B366" s="3" t="s">
        <v>1050</v>
      </c>
    </row>
    <row r="367" spans="1:2" x14ac:dyDescent="0.25">
      <c r="A367" s="5" t="s">
        <v>1181</v>
      </c>
      <c r="B367" s="3" t="s">
        <v>1051</v>
      </c>
    </row>
    <row r="368" spans="1:2" x14ac:dyDescent="0.25">
      <c r="A368" s="6" t="s">
        <v>1182</v>
      </c>
      <c r="B368" s="3" t="s">
        <v>1052</v>
      </c>
    </row>
    <row r="369" spans="1:2" x14ac:dyDescent="0.25">
      <c r="A369" s="6" t="s">
        <v>1183</v>
      </c>
      <c r="B369" s="3" t="s">
        <v>1053</v>
      </c>
    </row>
    <row r="370" spans="1:2" x14ac:dyDescent="0.25">
      <c r="A370" s="6" t="s">
        <v>1184</v>
      </c>
      <c r="B370" s="3" t="s">
        <v>1054</v>
      </c>
    </row>
    <row r="371" spans="1:2" x14ac:dyDescent="0.25">
      <c r="A371" s="6" t="s">
        <v>1185</v>
      </c>
      <c r="B371" s="3" t="s">
        <v>1186</v>
      </c>
    </row>
    <row r="372" spans="1:2" x14ac:dyDescent="0.25">
      <c r="A372" t="s">
        <v>922</v>
      </c>
      <c r="B372" s="3" t="s">
        <v>1187</v>
      </c>
    </row>
    <row r="373" spans="1:2" x14ac:dyDescent="0.25">
      <c r="A373" t="s">
        <v>923</v>
      </c>
      <c r="B373" s="3" t="s">
        <v>1188</v>
      </c>
    </row>
    <row r="374" spans="1:2" x14ac:dyDescent="0.25">
      <c r="A374" t="s">
        <v>924</v>
      </c>
      <c r="B374" s="3" t="s">
        <v>1189</v>
      </c>
    </row>
    <row r="375" spans="1:2" x14ac:dyDescent="0.25">
      <c r="A375" t="s">
        <v>925</v>
      </c>
      <c r="B375" s="3" t="s">
        <v>1190</v>
      </c>
    </row>
    <row r="376" spans="1:2" x14ac:dyDescent="0.25">
      <c r="A376" t="s">
        <v>278</v>
      </c>
      <c r="B376" s="3" t="s">
        <v>1191</v>
      </c>
    </row>
    <row r="377" spans="1:2" x14ac:dyDescent="0.25">
      <c r="A377" t="s">
        <v>277</v>
      </c>
      <c r="B377" s="3" t="s">
        <v>1192</v>
      </c>
    </row>
    <row r="378" spans="1:2" x14ac:dyDescent="0.25">
      <c r="A378" t="s">
        <v>276</v>
      </c>
      <c r="B378" s="3" t="s">
        <v>1193</v>
      </c>
    </row>
    <row r="379" spans="1:2" x14ac:dyDescent="0.25">
      <c r="A379" t="s">
        <v>545</v>
      </c>
      <c r="B379" s="3" t="s">
        <v>1194</v>
      </c>
    </row>
    <row r="380" spans="1:2" x14ac:dyDescent="0.25">
      <c r="A380" t="s">
        <v>553</v>
      </c>
      <c r="B380" s="3" t="s">
        <v>1195</v>
      </c>
    </row>
    <row r="381" spans="1:2" x14ac:dyDescent="0.25">
      <c r="A381" s="5" t="s">
        <v>554</v>
      </c>
      <c r="B381" s="3" t="s">
        <v>1196</v>
      </c>
    </row>
    <row r="382" spans="1:2" x14ac:dyDescent="0.25">
      <c r="A382" s="6" t="s">
        <v>555</v>
      </c>
      <c r="B382" s="3" t="s">
        <v>1197</v>
      </c>
    </row>
    <row r="383" spans="1:2" x14ac:dyDescent="0.25">
      <c r="A383" s="6" t="s">
        <v>556</v>
      </c>
      <c r="B383" s="3" t="s">
        <v>1198</v>
      </c>
    </row>
    <row r="384" spans="1:2" x14ac:dyDescent="0.25">
      <c r="A384" s="6" t="s">
        <v>557</v>
      </c>
      <c r="B384" s="3" t="s">
        <v>1199</v>
      </c>
    </row>
    <row r="385" spans="1:2" x14ac:dyDescent="0.25">
      <c r="A385" t="s">
        <v>103</v>
      </c>
      <c r="B385" s="2">
        <v>1</v>
      </c>
    </row>
    <row r="386" spans="1:2" x14ac:dyDescent="0.25">
      <c r="A386" t="s">
        <v>104</v>
      </c>
      <c r="B386" s="2">
        <v>2</v>
      </c>
    </row>
    <row r="387" spans="1:2" x14ac:dyDescent="0.25">
      <c r="A387" t="s">
        <v>105</v>
      </c>
      <c r="B387" s="2">
        <v>3</v>
      </c>
    </row>
    <row r="388" spans="1:2" x14ac:dyDescent="0.25">
      <c r="A388" t="s">
        <v>106</v>
      </c>
      <c r="B388" s="2">
        <v>4</v>
      </c>
    </row>
    <row r="389" spans="1:2" x14ac:dyDescent="0.25">
      <c r="A389" t="s">
        <v>724</v>
      </c>
      <c r="B389" s="2">
        <v>5</v>
      </c>
    </row>
    <row r="390" spans="1:2" x14ac:dyDescent="0.25">
      <c r="A390" t="s">
        <v>912</v>
      </c>
      <c r="B390" s="2">
        <v>6</v>
      </c>
    </row>
    <row r="391" spans="1:2" x14ac:dyDescent="0.25">
      <c r="A391" t="s">
        <v>913</v>
      </c>
      <c r="B391" s="2">
        <v>7</v>
      </c>
    </row>
    <row r="392" spans="1:2" x14ac:dyDescent="0.25">
      <c r="A392" t="s">
        <v>107</v>
      </c>
      <c r="B392" s="2">
        <v>8</v>
      </c>
    </row>
    <row r="393" spans="1:2" x14ac:dyDescent="0.25">
      <c r="A393" t="s">
        <v>108</v>
      </c>
      <c r="B393" s="2">
        <v>9</v>
      </c>
    </row>
    <row r="394" spans="1:2" x14ac:dyDescent="0.25">
      <c r="A394" t="s">
        <v>109</v>
      </c>
      <c r="B394" s="2">
        <v>11</v>
      </c>
    </row>
    <row r="395" spans="1:2" x14ac:dyDescent="0.25">
      <c r="A395" t="s">
        <v>725</v>
      </c>
      <c r="B395" s="2">
        <v>12</v>
      </c>
    </row>
    <row r="396" spans="1:2" x14ac:dyDescent="0.25">
      <c r="A396" t="s">
        <v>726</v>
      </c>
      <c r="B396" s="2">
        <v>13</v>
      </c>
    </row>
    <row r="397" spans="1:2" x14ac:dyDescent="0.25">
      <c r="A397" t="s">
        <v>727</v>
      </c>
      <c r="B397" s="2">
        <v>14</v>
      </c>
    </row>
    <row r="398" spans="1:2" x14ac:dyDescent="0.25">
      <c r="A398" t="s">
        <v>728</v>
      </c>
      <c r="B398" s="2">
        <v>15</v>
      </c>
    </row>
    <row r="399" spans="1:2" x14ac:dyDescent="0.25">
      <c r="A399" t="s">
        <v>110</v>
      </c>
      <c r="B399" s="2">
        <v>16</v>
      </c>
    </row>
    <row r="400" spans="1:2" x14ac:dyDescent="0.25">
      <c r="A400" t="s">
        <v>111</v>
      </c>
      <c r="B400" s="2">
        <v>17</v>
      </c>
    </row>
    <row r="401" spans="1:2" x14ac:dyDescent="0.25">
      <c r="A401" t="s">
        <v>112</v>
      </c>
      <c r="B401" s="2">
        <v>18</v>
      </c>
    </row>
    <row r="402" spans="1:2" x14ac:dyDescent="0.25">
      <c r="A402" t="s">
        <v>113</v>
      </c>
      <c r="B402" s="2">
        <v>19</v>
      </c>
    </row>
    <row r="403" spans="1:2" x14ac:dyDescent="0.25">
      <c r="A403" t="s">
        <v>114</v>
      </c>
      <c r="B403" s="2">
        <v>20</v>
      </c>
    </row>
    <row r="404" spans="1:2" x14ac:dyDescent="0.25">
      <c r="A404" t="s">
        <v>115</v>
      </c>
      <c r="B404" s="2">
        <v>21</v>
      </c>
    </row>
    <row r="405" spans="1:2" x14ac:dyDescent="0.25">
      <c r="A405" t="s">
        <v>116</v>
      </c>
      <c r="B405" s="2">
        <v>22</v>
      </c>
    </row>
    <row r="406" spans="1:2" x14ac:dyDescent="0.25">
      <c r="A406" t="s">
        <v>117</v>
      </c>
      <c r="B406" s="2">
        <v>23</v>
      </c>
    </row>
    <row r="407" spans="1:2" x14ac:dyDescent="0.25">
      <c r="A407" t="s">
        <v>118</v>
      </c>
      <c r="B407" s="2">
        <v>24</v>
      </c>
    </row>
    <row r="408" spans="1:2" x14ac:dyDescent="0.25">
      <c r="A408" t="s">
        <v>119</v>
      </c>
      <c r="B408" s="2">
        <v>25</v>
      </c>
    </row>
    <row r="409" spans="1:2" x14ac:dyDescent="0.25">
      <c r="A409" t="s">
        <v>120</v>
      </c>
      <c r="B409" s="2">
        <v>26</v>
      </c>
    </row>
    <row r="410" spans="1:2" x14ac:dyDescent="0.25">
      <c r="A410" t="s">
        <v>121</v>
      </c>
      <c r="B410" s="2">
        <v>27</v>
      </c>
    </row>
    <row r="411" spans="1:2" x14ac:dyDescent="0.25">
      <c r="A411" t="s">
        <v>1055</v>
      </c>
      <c r="B411" s="2">
        <v>28</v>
      </c>
    </row>
    <row r="412" spans="1:2" x14ac:dyDescent="0.25">
      <c r="A412" t="s">
        <v>1056</v>
      </c>
      <c r="B412" s="2">
        <v>29</v>
      </c>
    </row>
    <row r="413" spans="1:2" x14ac:dyDescent="0.25">
      <c r="A413" t="s">
        <v>1057</v>
      </c>
      <c r="B413" s="2">
        <v>30</v>
      </c>
    </row>
    <row r="414" spans="1:2" x14ac:dyDescent="0.25">
      <c r="A414" t="s">
        <v>1058</v>
      </c>
      <c r="B414" s="2">
        <v>31</v>
      </c>
    </row>
    <row r="415" spans="1:2" x14ac:dyDescent="0.25">
      <c r="A415" t="s">
        <v>1059</v>
      </c>
      <c r="B415" s="2">
        <v>32</v>
      </c>
    </row>
    <row r="416" spans="1:2" x14ac:dyDescent="0.25">
      <c r="A416" t="s">
        <v>1060</v>
      </c>
      <c r="B416" s="2">
        <v>33</v>
      </c>
    </row>
    <row r="417" spans="1:2" x14ac:dyDescent="0.25">
      <c r="A417" t="s">
        <v>122</v>
      </c>
      <c r="B417" s="2">
        <v>34</v>
      </c>
    </row>
    <row r="418" spans="1:2" x14ac:dyDescent="0.25">
      <c r="A418" t="s">
        <v>123</v>
      </c>
      <c r="B418" s="2">
        <v>35</v>
      </c>
    </row>
    <row r="419" spans="1:2" x14ac:dyDescent="0.25">
      <c r="A419" t="s">
        <v>124</v>
      </c>
      <c r="B419" s="2">
        <v>36</v>
      </c>
    </row>
    <row r="420" spans="1:2" x14ac:dyDescent="0.25">
      <c r="A420" t="s">
        <v>125</v>
      </c>
      <c r="B420" s="2">
        <v>38</v>
      </c>
    </row>
    <row r="421" spans="1:2" x14ac:dyDescent="0.25">
      <c r="A421" t="s">
        <v>729</v>
      </c>
      <c r="B421" s="2">
        <v>39</v>
      </c>
    </row>
    <row r="422" spans="1:2" x14ac:dyDescent="0.25">
      <c r="A422" t="s">
        <v>730</v>
      </c>
      <c r="B422" s="2">
        <v>40</v>
      </c>
    </row>
    <row r="423" spans="1:2" x14ac:dyDescent="0.25">
      <c r="A423" t="s">
        <v>731</v>
      </c>
      <c r="B423" s="2">
        <v>41</v>
      </c>
    </row>
    <row r="424" spans="1:2" x14ac:dyDescent="0.25">
      <c r="A424" t="s">
        <v>732</v>
      </c>
      <c r="B424" s="2">
        <v>42</v>
      </c>
    </row>
    <row r="425" spans="1:2" x14ac:dyDescent="0.25">
      <c r="A425" t="s">
        <v>126</v>
      </c>
      <c r="B425" s="2">
        <v>43</v>
      </c>
    </row>
    <row r="426" spans="1:2" x14ac:dyDescent="0.25">
      <c r="A426" t="s">
        <v>127</v>
      </c>
      <c r="B426" s="2">
        <v>44</v>
      </c>
    </row>
    <row r="427" spans="1:2" x14ac:dyDescent="0.25">
      <c r="A427" t="s">
        <v>128</v>
      </c>
      <c r="B427" s="2">
        <v>45</v>
      </c>
    </row>
    <row r="428" spans="1:2" x14ac:dyDescent="0.25">
      <c r="A428" t="s">
        <v>129</v>
      </c>
      <c r="B428" s="2">
        <v>46</v>
      </c>
    </row>
    <row r="429" spans="1:2" x14ac:dyDescent="0.25">
      <c r="A429" t="s">
        <v>130</v>
      </c>
      <c r="B429" s="2">
        <v>47</v>
      </c>
    </row>
    <row r="430" spans="1:2" x14ac:dyDescent="0.25">
      <c r="A430" t="s">
        <v>131</v>
      </c>
      <c r="B430" s="2">
        <v>48</v>
      </c>
    </row>
    <row r="431" spans="1:2" x14ac:dyDescent="0.25">
      <c r="A431" t="s">
        <v>132</v>
      </c>
      <c r="B431" s="2">
        <v>49</v>
      </c>
    </row>
    <row r="432" spans="1:2" x14ac:dyDescent="0.25">
      <c r="A432" t="s">
        <v>133</v>
      </c>
      <c r="B432" s="2">
        <v>50</v>
      </c>
    </row>
    <row r="433" spans="1:2" x14ac:dyDescent="0.25">
      <c r="A433" t="s">
        <v>134</v>
      </c>
      <c r="B433" s="2">
        <v>51</v>
      </c>
    </row>
    <row r="434" spans="1:2" x14ac:dyDescent="0.25">
      <c r="A434" t="s">
        <v>135</v>
      </c>
      <c r="B434" s="2">
        <v>52</v>
      </c>
    </row>
    <row r="435" spans="1:2" x14ac:dyDescent="0.25">
      <c r="A435" t="s">
        <v>136</v>
      </c>
      <c r="B435" s="2">
        <v>53</v>
      </c>
    </row>
    <row r="436" spans="1:2" x14ac:dyDescent="0.25">
      <c r="A436" t="s">
        <v>137</v>
      </c>
      <c r="B436" s="2">
        <v>54</v>
      </c>
    </row>
    <row r="437" spans="1:2" x14ac:dyDescent="0.25">
      <c r="A437" t="s">
        <v>1061</v>
      </c>
      <c r="B437" s="2">
        <v>55</v>
      </c>
    </row>
    <row r="438" spans="1:2" x14ac:dyDescent="0.25">
      <c r="A438" t="s">
        <v>1062</v>
      </c>
      <c r="B438" s="2">
        <v>56</v>
      </c>
    </row>
    <row r="439" spans="1:2" x14ac:dyDescent="0.25">
      <c r="A439" t="s">
        <v>1063</v>
      </c>
      <c r="B439" s="2">
        <v>57</v>
      </c>
    </row>
    <row r="440" spans="1:2" x14ac:dyDescent="0.25">
      <c r="A440" t="s">
        <v>1064</v>
      </c>
      <c r="B440" s="2">
        <v>58</v>
      </c>
    </row>
    <row r="441" spans="1:2" x14ac:dyDescent="0.25">
      <c r="A441" t="s">
        <v>1065</v>
      </c>
      <c r="B441" s="2">
        <v>59</v>
      </c>
    </row>
    <row r="442" spans="1:2" x14ac:dyDescent="0.25">
      <c r="A442" t="s">
        <v>1066</v>
      </c>
      <c r="B442" s="2">
        <v>60</v>
      </c>
    </row>
    <row r="443" spans="1:2" x14ac:dyDescent="0.25">
      <c r="A443" t="s">
        <v>138</v>
      </c>
      <c r="B443" s="2">
        <v>61</v>
      </c>
    </row>
    <row r="444" spans="1:2" x14ac:dyDescent="0.25">
      <c r="A444" t="s">
        <v>139</v>
      </c>
      <c r="B444" s="2">
        <v>62</v>
      </c>
    </row>
    <row r="445" spans="1:2" x14ac:dyDescent="0.25">
      <c r="A445" t="s">
        <v>140</v>
      </c>
      <c r="B445" s="2">
        <v>63</v>
      </c>
    </row>
    <row r="446" spans="1:2" x14ac:dyDescent="0.25">
      <c r="A446" t="s">
        <v>141</v>
      </c>
      <c r="B446" s="2">
        <v>65</v>
      </c>
    </row>
    <row r="447" spans="1:2" x14ac:dyDescent="0.25">
      <c r="A447" t="s">
        <v>142</v>
      </c>
      <c r="B447" s="2">
        <v>66</v>
      </c>
    </row>
    <row r="448" spans="1:2" x14ac:dyDescent="0.25">
      <c r="A448" t="s">
        <v>143</v>
      </c>
      <c r="B448" s="2">
        <v>67</v>
      </c>
    </row>
    <row r="449" spans="1:2" x14ac:dyDescent="0.25">
      <c r="A449" t="s">
        <v>144</v>
      </c>
      <c r="B449" s="2">
        <v>68</v>
      </c>
    </row>
    <row r="450" spans="1:2" x14ac:dyDescent="0.25">
      <c r="A450" t="s">
        <v>1067</v>
      </c>
      <c r="B450" s="2">
        <v>69</v>
      </c>
    </row>
    <row r="451" spans="1:2" x14ac:dyDescent="0.25">
      <c r="A451" t="s">
        <v>1068</v>
      </c>
      <c r="B451" s="2">
        <v>70</v>
      </c>
    </row>
    <row r="452" spans="1:2" x14ac:dyDescent="0.25">
      <c r="A452" t="s">
        <v>1069</v>
      </c>
      <c r="B452" s="2">
        <v>71</v>
      </c>
    </row>
    <row r="453" spans="1:2" x14ac:dyDescent="0.25">
      <c r="A453" t="s">
        <v>1070</v>
      </c>
      <c r="B453" s="2">
        <v>72</v>
      </c>
    </row>
    <row r="454" spans="1:2" x14ac:dyDescent="0.25">
      <c r="A454" t="s">
        <v>1071</v>
      </c>
      <c r="B454" s="2">
        <v>73</v>
      </c>
    </row>
    <row r="455" spans="1:2" x14ac:dyDescent="0.25">
      <c r="A455" t="s">
        <v>1072</v>
      </c>
      <c r="B455" s="2">
        <v>74</v>
      </c>
    </row>
    <row r="456" spans="1:2" x14ac:dyDescent="0.25">
      <c r="A456" t="s">
        <v>1073</v>
      </c>
      <c r="B456" s="2">
        <v>75</v>
      </c>
    </row>
    <row r="457" spans="1:2" x14ac:dyDescent="0.25">
      <c r="A457" t="s">
        <v>1074</v>
      </c>
      <c r="B457" s="2">
        <v>76</v>
      </c>
    </row>
    <row r="458" spans="1:2" x14ac:dyDescent="0.25">
      <c r="A458" t="s">
        <v>145</v>
      </c>
      <c r="B458" s="2">
        <v>77</v>
      </c>
    </row>
    <row r="459" spans="1:2" x14ac:dyDescent="0.25">
      <c r="A459" t="s">
        <v>146</v>
      </c>
      <c r="B459" s="2">
        <v>78</v>
      </c>
    </row>
    <row r="460" spans="1:2" x14ac:dyDescent="0.25">
      <c r="A460" t="s">
        <v>281</v>
      </c>
      <c r="B460" s="2">
        <v>79</v>
      </c>
    </row>
    <row r="461" spans="1:2" x14ac:dyDescent="0.25">
      <c r="A461" t="s">
        <v>282</v>
      </c>
      <c r="B461" s="2">
        <v>80</v>
      </c>
    </row>
    <row r="462" spans="1:2" x14ac:dyDescent="0.25">
      <c r="A462" t="s">
        <v>147</v>
      </c>
      <c r="B462" s="3" t="s">
        <v>1075</v>
      </c>
    </row>
    <row r="463" spans="1:2" x14ac:dyDescent="0.25">
      <c r="A463" t="s">
        <v>148</v>
      </c>
      <c r="B463" s="3" t="s">
        <v>1076</v>
      </c>
    </row>
    <row r="464" spans="1:2" x14ac:dyDescent="0.25">
      <c r="A464" t="s">
        <v>605</v>
      </c>
      <c r="B464" s="3" t="s">
        <v>1077</v>
      </c>
    </row>
    <row r="465" spans="1:2" x14ac:dyDescent="0.25">
      <c r="A465" t="s">
        <v>606</v>
      </c>
      <c r="B465" s="3" t="s">
        <v>1078</v>
      </c>
    </row>
    <row r="466" spans="1:2" x14ac:dyDescent="0.25">
      <c r="A466" t="s">
        <v>607</v>
      </c>
      <c r="B466" s="3" t="s">
        <v>1079</v>
      </c>
    </row>
    <row r="467" spans="1:2" x14ac:dyDescent="0.25">
      <c r="A467" t="s">
        <v>608</v>
      </c>
      <c r="B467" s="3" t="s">
        <v>1080</v>
      </c>
    </row>
    <row r="468" spans="1:2" x14ac:dyDescent="0.25">
      <c r="A468" t="s">
        <v>609</v>
      </c>
      <c r="B468" s="3" t="s">
        <v>1081</v>
      </c>
    </row>
    <row r="469" spans="1:2" x14ac:dyDescent="0.25">
      <c r="A469" s="5" t="s">
        <v>610</v>
      </c>
      <c r="B469" s="3" t="s">
        <v>1082</v>
      </c>
    </row>
    <row r="470" spans="1:2" x14ac:dyDescent="0.25">
      <c r="A470" t="s">
        <v>634</v>
      </c>
      <c r="B470" s="3" t="s">
        <v>1083</v>
      </c>
    </row>
    <row r="471" spans="1:2" x14ac:dyDescent="0.25">
      <c r="A471" t="s">
        <v>633</v>
      </c>
      <c r="B471" s="3" t="s">
        <v>1084</v>
      </c>
    </row>
    <row r="472" spans="1:2" x14ac:dyDescent="0.25">
      <c r="A472" t="s">
        <v>635</v>
      </c>
      <c r="B472" s="3" t="s">
        <v>1085</v>
      </c>
    </row>
    <row r="473" spans="1:2" x14ac:dyDescent="0.25">
      <c r="A473" t="s">
        <v>636</v>
      </c>
      <c r="B473" s="3" t="s">
        <v>1086</v>
      </c>
    </row>
    <row r="474" spans="1:2" x14ac:dyDescent="0.25">
      <c r="A474" t="s">
        <v>637</v>
      </c>
      <c r="B474" s="3" t="s">
        <v>1087</v>
      </c>
    </row>
    <row r="475" spans="1:2" x14ac:dyDescent="0.25">
      <c r="A475" s="5" t="s">
        <v>638</v>
      </c>
      <c r="B475" s="3" t="s">
        <v>1088</v>
      </c>
    </row>
    <row r="476" spans="1:2" x14ac:dyDescent="0.25">
      <c r="A476" s="6" t="s">
        <v>639</v>
      </c>
      <c r="B476" s="3" t="s">
        <v>1089</v>
      </c>
    </row>
    <row r="477" spans="1:2" x14ac:dyDescent="0.25">
      <c r="A477" t="s">
        <v>1200</v>
      </c>
      <c r="B477" s="3" t="s">
        <v>1090</v>
      </c>
    </row>
    <row r="478" spans="1:2" x14ac:dyDescent="0.25">
      <c r="A478" t="s">
        <v>1201</v>
      </c>
      <c r="B478" s="3" t="s">
        <v>1091</v>
      </c>
    </row>
    <row r="479" spans="1:2" x14ac:dyDescent="0.25">
      <c r="A479" t="s">
        <v>1202</v>
      </c>
      <c r="B479" s="3" t="s">
        <v>1092</v>
      </c>
    </row>
    <row r="480" spans="1:2" x14ac:dyDescent="0.25">
      <c r="A480" t="s">
        <v>1203</v>
      </c>
      <c r="B480" s="3" t="s">
        <v>1093</v>
      </c>
    </row>
    <row r="481" spans="1:2" x14ac:dyDescent="0.25">
      <c r="A481" t="s">
        <v>1204</v>
      </c>
      <c r="B481" s="3" t="s">
        <v>1094</v>
      </c>
    </row>
    <row r="482" spans="1:2" x14ac:dyDescent="0.25">
      <c r="A482" t="s">
        <v>1205</v>
      </c>
      <c r="B482" s="3" t="s">
        <v>1095</v>
      </c>
    </row>
    <row r="483" spans="1:2" x14ac:dyDescent="0.25">
      <c r="A483" t="s">
        <v>1206</v>
      </c>
      <c r="B483" s="3" t="s">
        <v>1096</v>
      </c>
    </row>
    <row r="484" spans="1:2" x14ac:dyDescent="0.25">
      <c r="A484" t="s">
        <v>1207</v>
      </c>
      <c r="B484" s="3" t="s">
        <v>1097</v>
      </c>
    </row>
    <row r="485" spans="1:2" x14ac:dyDescent="0.25">
      <c r="A485" t="s">
        <v>1208</v>
      </c>
      <c r="B485" s="3" t="s">
        <v>1098</v>
      </c>
    </row>
    <row r="486" spans="1:2" x14ac:dyDescent="0.25">
      <c r="A486" s="5" t="s">
        <v>1209</v>
      </c>
      <c r="B486" s="3" t="s">
        <v>1099</v>
      </c>
    </row>
    <row r="487" spans="1:2" x14ac:dyDescent="0.25">
      <c r="A487" s="6" t="s">
        <v>1210</v>
      </c>
      <c r="B487" s="3" t="s">
        <v>1100</v>
      </c>
    </row>
    <row r="488" spans="1:2" x14ac:dyDescent="0.25">
      <c r="A488" s="6" t="s">
        <v>1211</v>
      </c>
      <c r="B488" s="3" t="s">
        <v>1101</v>
      </c>
    </row>
    <row r="489" spans="1:2" x14ac:dyDescent="0.25">
      <c r="A489" s="6" t="s">
        <v>1212</v>
      </c>
      <c r="B489" s="3" t="s">
        <v>1102</v>
      </c>
    </row>
    <row r="490" spans="1:2" x14ac:dyDescent="0.25">
      <c r="A490" s="6" t="s">
        <v>1213</v>
      </c>
      <c r="B490" s="3" t="s">
        <v>1214</v>
      </c>
    </row>
    <row r="491" spans="1:2" x14ac:dyDescent="0.25">
      <c r="A491" t="s">
        <v>926</v>
      </c>
      <c r="B491" s="3" t="s">
        <v>1215</v>
      </c>
    </row>
    <row r="492" spans="1:2" x14ac:dyDescent="0.25">
      <c r="A492" t="s">
        <v>927</v>
      </c>
      <c r="B492" s="3" t="s">
        <v>1216</v>
      </c>
    </row>
    <row r="493" spans="1:2" x14ac:dyDescent="0.25">
      <c r="A493" t="s">
        <v>928</v>
      </c>
      <c r="B493" s="3" t="s">
        <v>1217</v>
      </c>
    </row>
    <row r="494" spans="1:2" x14ac:dyDescent="0.25">
      <c r="A494" t="s">
        <v>929</v>
      </c>
      <c r="B494" s="3" t="s">
        <v>1218</v>
      </c>
    </row>
    <row r="495" spans="1:2" x14ac:dyDescent="0.25">
      <c r="A495" t="s">
        <v>275</v>
      </c>
      <c r="B495" s="3" t="s">
        <v>1219</v>
      </c>
    </row>
    <row r="496" spans="1:2" x14ac:dyDescent="0.25">
      <c r="A496" t="s">
        <v>274</v>
      </c>
      <c r="B496" s="3" t="s">
        <v>1220</v>
      </c>
    </row>
    <row r="497" spans="1:2" x14ac:dyDescent="0.25">
      <c r="A497" t="s">
        <v>273</v>
      </c>
      <c r="B497" s="3" t="s">
        <v>1221</v>
      </c>
    </row>
    <row r="498" spans="1:2" x14ac:dyDescent="0.25">
      <c r="A498" t="s">
        <v>546</v>
      </c>
      <c r="B498" s="3" t="s">
        <v>1222</v>
      </c>
    </row>
    <row r="499" spans="1:2" x14ac:dyDescent="0.25">
      <c r="A499" t="s">
        <v>558</v>
      </c>
      <c r="B499" s="3" t="s">
        <v>1223</v>
      </c>
    </row>
    <row r="500" spans="1:2" x14ac:dyDescent="0.25">
      <c r="A500" s="5" t="s">
        <v>733</v>
      </c>
      <c r="B500" s="3" t="s">
        <v>1224</v>
      </c>
    </row>
    <row r="501" spans="1:2" x14ac:dyDescent="0.25">
      <c r="A501" s="6" t="s">
        <v>559</v>
      </c>
      <c r="B501" s="3" t="s">
        <v>1225</v>
      </c>
    </row>
    <row r="502" spans="1:2" x14ac:dyDescent="0.25">
      <c r="A502" s="6" t="s">
        <v>560</v>
      </c>
      <c r="B502" s="3" t="s">
        <v>1226</v>
      </c>
    </row>
    <row r="503" spans="1:2" x14ac:dyDescent="0.25">
      <c r="A503" s="6" t="s">
        <v>561</v>
      </c>
      <c r="B503" s="3" t="s">
        <v>1227</v>
      </c>
    </row>
    <row r="504" spans="1:2" x14ac:dyDescent="0.25">
      <c r="A504" t="s">
        <v>288</v>
      </c>
      <c r="B504" s="2">
        <v>1</v>
      </c>
    </row>
    <row r="505" spans="1:2" x14ac:dyDescent="0.25">
      <c r="A505" t="s">
        <v>289</v>
      </c>
      <c r="B505" s="2">
        <v>2</v>
      </c>
    </row>
    <row r="506" spans="1:2" x14ac:dyDescent="0.25">
      <c r="A506" t="s">
        <v>290</v>
      </c>
      <c r="B506" s="2">
        <v>3</v>
      </c>
    </row>
    <row r="507" spans="1:2" x14ac:dyDescent="0.25">
      <c r="A507" t="s">
        <v>291</v>
      </c>
      <c r="B507" s="2">
        <v>4</v>
      </c>
    </row>
    <row r="508" spans="1:2" x14ac:dyDescent="0.25">
      <c r="A508" t="s">
        <v>292</v>
      </c>
      <c r="B508" s="2">
        <v>5</v>
      </c>
    </row>
    <row r="509" spans="1:2" x14ac:dyDescent="0.25">
      <c r="A509" t="s">
        <v>739</v>
      </c>
      <c r="B509" s="2">
        <v>6</v>
      </c>
    </row>
    <row r="510" spans="1:2" x14ac:dyDescent="0.25">
      <c r="A510" t="s">
        <v>293</v>
      </c>
      <c r="B510" s="2">
        <v>7</v>
      </c>
    </row>
    <row r="511" spans="1:2" x14ac:dyDescent="0.25">
      <c r="A511" t="s">
        <v>294</v>
      </c>
      <c r="B511" s="2">
        <v>8</v>
      </c>
    </row>
    <row r="512" spans="1:2" x14ac:dyDescent="0.25">
      <c r="A512" t="s">
        <v>295</v>
      </c>
      <c r="B512" s="2">
        <v>10</v>
      </c>
    </row>
    <row r="513" spans="1:2" x14ac:dyDescent="0.25">
      <c r="A513" t="s">
        <v>740</v>
      </c>
      <c r="B513" s="2">
        <v>11</v>
      </c>
    </row>
    <row r="514" spans="1:2" x14ac:dyDescent="0.25">
      <c r="A514" t="s">
        <v>741</v>
      </c>
      <c r="B514" s="2">
        <v>12</v>
      </c>
    </row>
    <row r="515" spans="1:2" x14ac:dyDescent="0.25">
      <c r="A515" t="s">
        <v>742</v>
      </c>
      <c r="B515" s="2">
        <v>13</v>
      </c>
    </row>
    <row r="516" spans="1:2" x14ac:dyDescent="0.25">
      <c r="A516" t="s">
        <v>743</v>
      </c>
      <c r="B516" s="2">
        <v>14</v>
      </c>
    </row>
    <row r="517" spans="1:2" x14ac:dyDescent="0.25">
      <c r="A517" t="s">
        <v>296</v>
      </c>
      <c r="B517" s="2">
        <v>15</v>
      </c>
    </row>
    <row r="518" spans="1:2" x14ac:dyDescent="0.25">
      <c r="A518" t="s">
        <v>297</v>
      </c>
      <c r="B518" s="2">
        <v>16</v>
      </c>
    </row>
    <row r="519" spans="1:2" x14ac:dyDescent="0.25">
      <c r="A519" t="s">
        <v>298</v>
      </c>
      <c r="B519" s="2">
        <v>17</v>
      </c>
    </row>
    <row r="520" spans="1:2" x14ac:dyDescent="0.25">
      <c r="A520" t="s">
        <v>299</v>
      </c>
      <c r="B520" s="2">
        <v>18</v>
      </c>
    </row>
    <row r="521" spans="1:2" x14ac:dyDescent="0.25">
      <c r="A521" t="s">
        <v>300</v>
      </c>
      <c r="B521" s="2">
        <v>19</v>
      </c>
    </row>
    <row r="522" spans="1:2" x14ac:dyDescent="0.25">
      <c r="A522" t="s">
        <v>301</v>
      </c>
      <c r="B522" s="2">
        <v>20</v>
      </c>
    </row>
    <row r="523" spans="1:2" x14ac:dyDescent="0.25">
      <c r="A523" t="s">
        <v>302</v>
      </c>
      <c r="B523" s="2">
        <v>21</v>
      </c>
    </row>
    <row r="524" spans="1:2" x14ac:dyDescent="0.25">
      <c r="A524" t="s">
        <v>303</v>
      </c>
      <c r="B524" s="2">
        <v>22</v>
      </c>
    </row>
    <row r="525" spans="1:2" x14ac:dyDescent="0.25">
      <c r="A525" t="s">
        <v>304</v>
      </c>
      <c r="B525" s="2">
        <v>23</v>
      </c>
    </row>
    <row r="526" spans="1:2" x14ac:dyDescent="0.25">
      <c r="A526" t="s">
        <v>305</v>
      </c>
      <c r="B526" s="2">
        <v>24</v>
      </c>
    </row>
    <row r="527" spans="1:2" x14ac:dyDescent="0.25">
      <c r="A527" t="s">
        <v>744</v>
      </c>
      <c r="B527" s="2">
        <v>25</v>
      </c>
    </row>
    <row r="528" spans="1:2" x14ac:dyDescent="0.25">
      <c r="A528" t="s">
        <v>745</v>
      </c>
      <c r="B528" s="2">
        <v>26</v>
      </c>
    </row>
    <row r="529" spans="1:2" x14ac:dyDescent="0.25">
      <c r="A529" t="s">
        <v>306</v>
      </c>
      <c r="B529" s="2">
        <v>27</v>
      </c>
    </row>
    <row r="530" spans="1:2" x14ac:dyDescent="0.25">
      <c r="A530" t="s">
        <v>307</v>
      </c>
      <c r="B530" s="2">
        <v>28</v>
      </c>
    </row>
    <row r="531" spans="1:2" x14ac:dyDescent="0.25">
      <c r="A531" t="s">
        <v>308</v>
      </c>
      <c r="B531" s="2">
        <v>29</v>
      </c>
    </row>
    <row r="532" spans="1:2" x14ac:dyDescent="0.25">
      <c r="A532" t="s">
        <v>309</v>
      </c>
      <c r="B532" s="2">
        <v>30</v>
      </c>
    </row>
    <row r="533" spans="1:2" x14ac:dyDescent="0.25">
      <c r="A533" t="s">
        <v>310</v>
      </c>
      <c r="B533" s="2">
        <v>31</v>
      </c>
    </row>
    <row r="534" spans="1:2" x14ac:dyDescent="0.25">
      <c r="A534" t="s">
        <v>311</v>
      </c>
      <c r="B534" s="2">
        <v>32</v>
      </c>
    </row>
    <row r="535" spans="1:2" x14ac:dyDescent="0.25">
      <c r="A535" t="s">
        <v>312</v>
      </c>
      <c r="B535" s="2">
        <v>33</v>
      </c>
    </row>
    <row r="536" spans="1:2" x14ac:dyDescent="0.25">
      <c r="A536" t="s">
        <v>313</v>
      </c>
      <c r="B536" s="2">
        <v>34</v>
      </c>
    </row>
    <row r="537" spans="1:2" x14ac:dyDescent="0.25">
      <c r="A537" t="s">
        <v>577</v>
      </c>
      <c r="B537" s="2">
        <v>35</v>
      </c>
    </row>
    <row r="538" spans="1:2" x14ac:dyDescent="0.25">
      <c r="A538" t="s">
        <v>314</v>
      </c>
      <c r="B538" s="2">
        <v>37</v>
      </c>
    </row>
    <row r="539" spans="1:2" x14ac:dyDescent="0.25">
      <c r="A539" t="s">
        <v>746</v>
      </c>
      <c r="B539" s="2">
        <v>38</v>
      </c>
    </row>
    <row r="540" spans="1:2" x14ac:dyDescent="0.25">
      <c r="A540" t="s">
        <v>747</v>
      </c>
      <c r="B540" s="2">
        <v>39</v>
      </c>
    </row>
    <row r="541" spans="1:2" x14ac:dyDescent="0.25">
      <c r="A541" t="s">
        <v>748</v>
      </c>
      <c r="B541" s="2">
        <v>40</v>
      </c>
    </row>
    <row r="542" spans="1:2" x14ac:dyDescent="0.25">
      <c r="A542" t="s">
        <v>749</v>
      </c>
      <c r="B542" s="2">
        <v>41</v>
      </c>
    </row>
    <row r="543" spans="1:2" x14ac:dyDescent="0.25">
      <c r="A543" t="s">
        <v>315</v>
      </c>
      <c r="B543" s="2">
        <v>42</v>
      </c>
    </row>
    <row r="544" spans="1:2" x14ac:dyDescent="0.25">
      <c r="A544" t="s">
        <v>316</v>
      </c>
      <c r="B544" s="2">
        <v>43</v>
      </c>
    </row>
    <row r="545" spans="1:2" x14ac:dyDescent="0.25">
      <c r="A545" t="s">
        <v>317</v>
      </c>
      <c r="B545" s="2">
        <v>44</v>
      </c>
    </row>
    <row r="546" spans="1:2" x14ac:dyDescent="0.25">
      <c r="A546" t="s">
        <v>318</v>
      </c>
      <c r="B546" s="2">
        <v>45</v>
      </c>
    </row>
    <row r="547" spans="1:2" x14ac:dyDescent="0.25">
      <c r="A547" t="s">
        <v>319</v>
      </c>
      <c r="B547" s="2">
        <v>46</v>
      </c>
    </row>
    <row r="548" spans="1:2" x14ac:dyDescent="0.25">
      <c r="A548" t="s">
        <v>320</v>
      </c>
      <c r="B548" s="2">
        <v>47</v>
      </c>
    </row>
    <row r="549" spans="1:2" x14ac:dyDescent="0.25">
      <c r="A549" t="s">
        <v>321</v>
      </c>
      <c r="B549" s="2">
        <v>48</v>
      </c>
    </row>
    <row r="550" spans="1:2" x14ac:dyDescent="0.25">
      <c r="A550" t="s">
        <v>322</v>
      </c>
      <c r="B550" s="2">
        <v>49</v>
      </c>
    </row>
    <row r="551" spans="1:2" x14ac:dyDescent="0.25">
      <c r="A551" t="s">
        <v>323</v>
      </c>
      <c r="B551" s="2">
        <v>50</v>
      </c>
    </row>
    <row r="552" spans="1:2" x14ac:dyDescent="0.25">
      <c r="A552" t="s">
        <v>324</v>
      </c>
      <c r="B552" s="2">
        <v>51</v>
      </c>
    </row>
    <row r="553" spans="1:2" x14ac:dyDescent="0.25">
      <c r="A553" t="s">
        <v>750</v>
      </c>
      <c r="B553" s="2">
        <v>52</v>
      </c>
    </row>
    <row r="554" spans="1:2" x14ac:dyDescent="0.25">
      <c r="A554" t="s">
        <v>751</v>
      </c>
      <c r="B554" s="2">
        <v>53</v>
      </c>
    </row>
    <row r="555" spans="1:2" x14ac:dyDescent="0.25">
      <c r="A555" t="s">
        <v>325</v>
      </c>
      <c r="B555" s="2">
        <v>54</v>
      </c>
    </row>
    <row r="556" spans="1:2" x14ac:dyDescent="0.25">
      <c r="A556" t="s">
        <v>326</v>
      </c>
      <c r="B556" s="2">
        <v>55</v>
      </c>
    </row>
    <row r="557" spans="1:2" x14ac:dyDescent="0.25">
      <c r="A557" t="s">
        <v>327</v>
      </c>
      <c r="B557" s="2">
        <v>56</v>
      </c>
    </row>
    <row r="558" spans="1:2" x14ac:dyDescent="0.25">
      <c r="A558" t="s">
        <v>328</v>
      </c>
      <c r="B558" s="2">
        <v>57</v>
      </c>
    </row>
    <row r="559" spans="1:2" x14ac:dyDescent="0.25">
      <c r="A559" t="s">
        <v>329</v>
      </c>
      <c r="B559" s="2">
        <v>58</v>
      </c>
    </row>
    <row r="560" spans="1:2" x14ac:dyDescent="0.25">
      <c r="A560" t="s">
        <v>330</v>
      </c>
      <c r="B560" s="2">
        <v>59</v>
      </c>
    </row>
    <row r="561" spans="1:2" x14ac:dyDescent="0.25">
      <c r="A561" t="s">
        <v>331</v>
      </c>
      <c r="B561" s="2">
        <v>60</v>
      </c>
    </row>
    <row r="562" spans="1:2" x14ac:dyDescent="0.25">
      <c r="A562" t="s">
        <v>332</v>
      </c>
      <c r="B562" s="2">
        <v>61</v>
      </c>
    </row>
    <row r="563" spans="1:2" x14ac:dyDescent="0.25">
      <c r="A563" t="s">
        <v>578</v>
      </c>
      <c r="B563" s="2">
        <v>62</v>
      </c>
    </row>
    <row r="564" spans="1:2" x14ac:dyDescent="0.25">
      <c r="A564" t="s">
        <v>333</v>
      </c>
      <c r="B564" s="2">
        <v>64</v>
      </c>
    </row>
    <row r="565" spans="1:2" x14ac:dyDescent="0.25">
      <c r="A565" t="s">
        <v>334</v>
      </c>
      <c r="B565" s="2">
        <v>65</v>
      </c>
    </row>
    <row r="566" spans="1:2" x14ac:dyDescent="0.25">
      <c r="A566" t="s">
        <v>335</v>
      </c>
      <c r="B566" s="2">
        <v>66</v>
      </c>
    </row>
    <row r="567" spans="1:2" x14ac:dyDescent="0.25">
      <c r="A567" t="s">
        <v>336</v>
      </c>
      <c r="B567" s="2">
        <v>67</v>
      </c>
    </row>
    <row r="568" spans="1:2" x14ac:dyDescent="0.25">
      <c r="A568" t="s">
        <v>337</v>
      </c>
      <c r="B568" s="2">
        <v>69</v>
      </c>
    </row>
    <row r="569" spans="1:2" x14ac:dyDescent="0.25">
      <c r="A569" t="s">
        <v>752</v>
      </c>
      <c r="B569" s="2">
        <v>70</v>
      </c>
    </row>
    <row r="570" spans="1:2" x14ac:dyDescent="0.25">
      <c r="A570" t="s">
        <v>338</v>
      </c>
      <c r="B570" s="2">
        <v>71</v>
      </c>
    </row>
    <row r="571" spans="1:2" x14ac:dyDescent="0.25">
      <c r="A571" t="s">
        <v>339</v>
      </c>
      <c r="B571" s="2">
        <v>72</v>
      </c>
    </row>
    <row r="572" spans="1:2" x14ac:dyDescent="0.25">
      <c r="A572" t="s">
        <v>340</v>
      </c>
      <c r="B572" s="2">
        <v>73</v>
      </c>
    </row>
    <row r="573" spans="1:2" x14ac:dyDescent="0.25">
      <c r="A573" t="s">
        <v>341</v>
      </c>
      <c r="B573" s="2">
        <v>74</v>
      </c>
    </row>
    <row r="574" spans="1:2" x14ac:dyDescent="0.25">
      <c r="A574" t="s">
        <v>342</v>
      </c>
      <c r="B574" s="2">
        <v>76</v>
      </c>
    </row>
    <row r="575" spans="1:2" x14ac:dyDescent="0.25">
      <c r="A575" t="s">
        <v>753</v>
      </c>
      <c r="B575" s="2">
        <v>77</v>
      </c>
    </row>
    <row r="576" spans="1:2" x14ac:dyDescent="0.25">
      <c r="A576" t="s">
        <v>343</v>
      </c>
      <c r="B576" s="2">
        <v>78</v>
      </c>
    </row>
    <row r="577" spans="1:2" x14ac:dyDescent="0.25">
      <c r="A577" t="s">
        <v>344</v>
      </c>
      <c r="B577" s="2">
        <v>79</v>
      </c>
    </row>
    <row r="578" spans="1:2" x14ac:dyDescent="0.25">
      <c r="A578" t="s">
        <v>345</v>
      </c>
      <c r="B578" s="2">
        <v>80</v>
      </c>
    </row>
    <row r="579" spans="1:2" x14ac:dyDescent="0.25">
      <c r="A579" t="s">
        <v>346</v>
      </c>
      <c r="B579" s="2">
        <v>81</v>
      </c>
    </row>
    <row r="580" spans="1:2" x14ac:dyDescent="0.25">
      <c r="A580" t="s">
        <v>754</v>
      </c>
      <c r="B580" s="4" t="s">
        <v>755</v>
      </c>
    </row>
    <row r="581" spans="1:2" x14ac:dyDescent="0.25">
      <c r="A581" t="s">
        <v>756</v>
      </c>
      <c r="B581" s="3" t="s">
        <v>757</v>
      </c>
    </row>
    <row r="582" spans="1:2" x14ac:dyDescent="0.25">
      <c r="A582" t="s">
        <v>758</v>
      </c>
      <c r="B582" s="3" t="s">
        <v>759</v>
      </c>
    </row>
    <row r="583" spans="1:2" x14ac:dyDescent="0.25">
      <c r="A583" t="s">
        <v>760</v>
      </c>
      <c r="B583" s="3" t="s">
        <v>761</v>
      </c>
    </row>
    <row r="584" spans="1:2" x14ac:dyDescent="0.25">
      <c r="A584" t="s">
        <v>762</v>
      </c>
      <c r="B584" s="3" t="s">
        <v>763</v>
      </c>
    </row>
    <row r="585" spans="1:2" x14ac:dyDescent="0.25">
      <c r="A585" t="s">
        <v>764</v>
      </c>
      <c r="B585" s="3" t="s">
        <v>765</v>
      </c>
    </row>
    <row r="586" spans="1:2" x14ac:dyDescent="0.25">
      <c r="A586" t="s">
        <v>766</v>
      </c>
      <c r="B586" s="3" t="s">
        <v>767</v>
      </c>
    </row>
    <row r="587" spans="1:2" s="6" customFormat="1" x14ac:dyDescent="0.25">
      <c r="A587" s="5" t="s">
        <v>768</v>
      </c>
      <c r="B587" s="9" t="s">
        <v>769</v>
      </c>
    </row>
    <row r="588" spans="1:2" s="6" customFormat="1" x14ac:dyDescent="0.25">
      <c r="A588" t="s">
        <v>640</v>
      </c>
      <c r="B588" s="9" t="s">
        <v>770</v>
      </c>
    </row>
    <row r="589" spans="1:2" s="6" customFormat="1" x14ac:dyDescent="0.25">
      <c r="A589" t="s">
        <v>641</v>
      </c>
      <c r="B589" s="9" t="s">
        <v>771</v>
      </c>
    </row>
    <row r="590" spans="1:2" s="6" customFormat="1" x14ac:dyDescent="0.25">
      <c r="A590" t="s">
        <v>642</v>
      </c>
      <c r="B590" s="9" t="s">
        <v>772</v>
      </c>
    </row>
    <row r="591" spans="1:2" s="6" customFormat="1" x14ac:dyDescent="0.25">
      <c r="A591" t="s">
        <v>643</v>
      </c>
      <c r="B591" s="9" t="s">
        <v>773</v>
      </c>
    </row>
    <row r="592" spans="1:2" s="6" customFormat="1" x14ac:dyDescent="0.25">
      <c r="A592" t="s">
        <v>644</v>
      </c>
      <c r="B592" s="9" t="s">
        <v>774</v>
      </c>
    </row>
    <row r="593" spans="1:2" s="6" customFormat="1" x14ac:dyDescent="0.25">
      <c r="A593" s="5" t="s">
        <v>645</v>
      </c>
      <c r="B593" s="9" t="s">
        <v>775</v>
      </c>
    </row>
    <row r="594" spans="1:2" s="6" customFormat="1" x14ac:dyDescent="0.25">
      <c r="A594" s="6" t="s">
        <v>646</v>
      </c>
      <c r="B594" s="9" t="s">
        <v>776</v>
      </c>
    </row>
    <row r="595" spans="1:2" s="6" customFormat="1" x14ac:dyDescent="0.25">
      <c r="A595" t="s">
        <v>647</v>
      </c>
      <c r="B595" s="9" t="s">
        <v>777</v>
      </c>
    </row>
    <row r="596" spans="1:2" s="6" customFormat="1" x14ac:dyDescent="0.25">
      <c r="A596" t="s">
        <v>648</v>
      </c>
      <c r="B596" s="9" t="s">
        <v>778</v>
      </c>
    </row>
    <row r="597" spans="1:2" s="6" customFormat="1" x14ac:dyDescent="0.25">
      <c r="A597" t="s">
        <v>649</v>
      </c>
      <c r="B597" s="9" t="s">
        <v>779</v>
      </c>
    </row>
    <row r="598" spans="1:2" s="6" customFormat="1" x14ac:dyDescent="0.25">
      <c r="A598" t="s">
        <v>650</v>
      </c>
      <c r="B598" s="9" t="s">
        <v>780</v>
      </c>
    </row>
    <row r="599" spans="1:2" s="6" customFormat="1" x14ac:dyDescent="0.25">
      <c r="A599" t="s">
        <v>651</v>
      </c>
      <c r="B599" s="9" t="s">
        <v>781</v>
      </c>
    </row>
    <row r="600" spans="1:2" s="6" customFormat="1" x14ac:dyDescent="0.25">
      <c r="A600" s="5" t="s">
        <v>652</v>
      </c>
      <c r="B600" s="9" t="s">
        <v>782</v>
      </c>
    </row>
    <row r="601" spans="1:2" s="6" customFormat="1" x14ac:dyDescent="0.25">
      <c r="A601" s="6" t="s">
        <v>653</v>
      </c>
      <c r="B601" s="9" t="s">
        <v>783</v>
      </c>
    </row>
    <row r="602" spans="1:2" s="6" customFormat="1" x14ac:dyDescent="0.25">
      <c r="A602" s="6" t="s">
        <v>654</v>
      </c>
      <c r="B602" s="9" t="s">
        <v>784</v>
      </c>
    </row>
    <row r="603" spans="1:2" s="6" customFormat="1" x14ac:dyDescent="0.25">
      <c r="A603" s="6" t="s">
        <v>655</v>
      </c>
      <c r="B603" s="9" t="s">
        <v>785</v>
      </c>
    </row>
    <row r="604" spans="1:2" x14ac:dyDescent="0.25">
      <c r="A604" t="s">
        <v>347</v>
      </c>
      <c r="B604" s="2">
        <v>1</v>
      </c>
    </row>
    <row r="605" spans="1:2" x14ac:dyDescent="0.25">
      <c r="A605" t="s">
        <v>348</v>
      </c>
      <c r="B605" s="2">
        <v>2</v>
      </c>
    </row>
    <row r="606" spans="1:2" x14ac:dyDescent="0.25">
      <c r="A606" t="s">
        <v>349</v>
      </c>
      <c r="B606" s="2">
        <v>3</v>
      </c>
    </row>
    <row r="607" spans="1:2" x14ac:dyDescent="0.25">
      <c r="A607" t="s">
        <v>350</v>
      </c>
      <c r="B607" s="2">
        <v>4</v>
      </c>
    </row>
    <row r="608" spans="1:2" x14ac:dyDescent="0.25">
      <c r="A608" t="s">
        <v>351</v>
      </c>
      <c r="B608" s="2">
        <v>5</v>
      </c>
    </row>
    <row r="609" spans="1:2" x14ac:dyDescent="0.25">
      <c r="A609" t="s">
        <v>786</v>
      </c>
      <c r="B609" s="2">
        <v>6</v>
      </c>
    </row>
    <row r="610" spans="1:2" x14ac:dyDescent="0.25">
      <c r="A610" t="s">
        <v>352</v>
      </c>
      <c r="B610" s="2">
        <v>7</v>
      </c>
    </row>
    <row r="611" spans="1:2" x14ac:dyDescent="0.25">
      <c r="A611" t="s">
        <v>353</v>
      </c>
      <c r="B611" s="2">
        <v>8</v>
      </c>
    </row>
    <row r="612" spans="1:2" x14ac:dyDescent="0.25">
      <c r="A612" t="s">
        <v>354</v>
      </c>
      <c r="B612" s="2">
        <v>10</v>
      </c>
    </row>
    <row r="613" spans="1:2" x14ac:dyDescent="0.25">
      <c r="A613" t="s">
        <v>787</v>
      </c>
      <c r="B613" s="2">
        <v>11</v>
      </c>
    </row>
    <row r="614" spans="1:2" x14ac:dyDescent="0.25">
      <c r="A614" t="s">
        <v>788</v>
      </c>
      <c r="B614" s="2">
        <v>12</v>
      </c>
    </row>
    <row r="615" spans="1:2" x14ac:dyDescent="0.25">
      <c r="A615" t="s">
        <v>789</v>
      </c>
      <c r="B615" s="2">
        <v>13</v>
      </c>
    </row>
    <row r="616" spans="1:2" x14ac:dyDescent="0.25">
      <c r="A616" t="s">
        <v>790</v>
      </c>
      <c r="B616" s="2">
        <v>14</v>
      </c>
    </row>
    <row r="617" spans="1:2" x14ac:dyDescent="0.25">
      <c r="A617" t="s">
        <v>355</v>
      </c>
      <c r="B617" s="2">
        <v>15</v>
      </c>
    </row>
    <row r="618" spans="1:2" x14ac:dyDescent="0.25">
      <c r="A618" t="s">
        <v>356</v>
      </c>
      <c r="B618" s="2">
        <v>16</v>
      </c>
    </row>
    <row r="619" spans="1:2" x14ac:dyDescent="0.25">
      <c r="A619" t="s">
        <v>357</v>
      </c>
      <c r="B619" s="2">
        <v>17</v>
      </c>
    </row>
    <row r="620" spans="1:2" x14ac:dyDescent="0.25">
      <c r="A620" t="s">
        <v>358</v>
      </c>
      <c r="B620" s="2">
        <v>18</v>
      </c>
    </row>
    <row r="621" spans="1:2" x14ac:dyDescent="0.25">
      <c r="A621" t="s">
        <v>359</v>
      </c>
      <c r="B621" s="2">
        <v>19</v>
      </c>
    </row>
    <row r="622" spans="1:2" x14ac:dyDescent="0.25">
      <c r="A622" t="s">
        <v>360</v>
      </c>
      <c r="B622" s="2">
        <v>20</v>
      </c>
    </row>
    <row r="623" spans="1:2" x14ac:dyDescent="0.25">
      <c r="A623" t="s">
        <v>361</v>
      </c>
      <c r="B623" s="2">
        <v>21</v>
      </c>
    </row>
    <row r="624" spans="1:2" x14ac:dyDescent="0.25">
      <c r="A624" t="s">
        <v>362</v>
      </c>
      <c r="B624" s="2">
        <v>22</v>
      </c>
    </row>
    <row r="625" spans="1:2" x14ac:dyDescent="0.25">
      <c r="A625" t="s">
        <v>363</v>
      </c>
      <c r="B625" s="2">
        <v>23</v>
      </c>
    </row>
    <row r="626" spans="1:2" x14ac:dyDescent="0.25">
      <c r="A626" t="s">
        <v>364</v>
      </c>
      <c r="B626" s="2">
        <v>24</v>
      </c>
    </row>
    <row r="627" spans="1:2" x14ac:dyDescent="0.25">
      <c r="A627" t="s">
        <v>365</v>
      </c>
      <c r="B627" s="2">
        <v>25</v>
      </c>
    </row>
    <row r="628" spans="1:2" x14ac:dyDescent="0.25">
      <c r="A628" t="s">
        <v>366</v>
      </c>
      <c r="B628" s="2">
        <v>26</v>
      </c>
    </row>
    <row r="629" spans="1:2" x14ac:dyDescent="0.25">
      <c r="A629" t="s">
        <v>367</v>
      </c>
      <c r="B629" s="2">
        <v>27</v>
      </c>
    </row>
    <row r="630" spans="1:2" x14ac:dyDescent="0.25">
      <c r="A630" t="s">
        <v>368</v>
      </c>
      <c r="B630" s="2">
        <v>28</v>
      </c>
    </row>
    <row r="631" spans="1:2" x14ac:dyDescent="0.25">
      <c r="A631" t="s">
        <v>369</v>
      </c>
      <c r="B631" s="2">
        <v>29</v>
      </c>
    </row>
    <row r="632" spans="1:2" x14ac:dyDescent="0.25">
      <c r="A632" t="s">
        <v>370</v>
      </c>
      <c r="B632" s="2">
        <v>30</v>
      </c>
    </row>
    <row r="633" spans="1:2" x14ac:dyDescent="0.25">
      <c r="A633" t="s">
        <v>371</v>
      </c>
      <c r="B633" s="2">
        <v>31</v>
      </c>
    </row>
    <row r="634" spans="1:2" x14ac:dyDescent="0.25">
      <c r="A634" t="s">
        <v>372</v>
      </c>
      <c r="B634" s="2">
        <v>32</v>
      </c>
    </row>
    <row r="635" spans="1:2" x14ac:dyDescent="0.25">
      <c r="A635" t="s">
        <v>373</v>
      </c>
      <c r="B635" s="2">
        <v>33</v>
      </c>
    </row>
    <row r="636" spans="1:2" x14ac:dyDescent="0.25">
      <c r="A636" t="s">
        <v>374</v>
      </c>
      <c r="B636" s="2">
        <v>35</v>
      </c>
    </row>
    <row r="637" spans="1:2" x14ac:dyDescent="0.25">
      <c r="A637" t="s">
        <v>791</v>
      </c>
      <c r="B637" s="2">
        <v>36</v>
      </c>
    </row>
    <row r="638" spans="1:2" x14ac:dyDescent="0.25">
      <c r="A638" t="s">
        <v>792</v>
      </c>
      <c r="B638" s="2">
        <v>37</v>
      </c>
    </row>
    <row r="639" spans="1:2" x14ac:dyDescent="0.25">
      <c r="A639" t="s">
        <v>793</v>
      </c>
      <c r="B639" s="2">
        <v>38</v>
      </c>
    </row>
    <row r="640" spans="1:2" x14ac:dyDescent="0.25">
      <c r="A640" t="s">
        <v>794</v>
      </c>
      <c r="B640" s="2">
        <v>39</v>
      </c>
    </row>
    <row r="641" spans="1:2" x14ac:dyDescent="0.25">
      <c r="A641" t="s">
        <v>375</v>
      </c>
      <c r="B641" s="2">
        <v>40</v>
      </c>
    </row>
    <row r="642" spans="1:2" x14ac:dyDescent="0.25">
      <c r="A642" t="s">
        <v>376</v>
      </c>
      <c r="B642" s="2">
        <v>41</v>
      </c>
    </row>
    <row r="643" spans="1:2" x14ac:dyDescent="0.25">
      <c r="A643" t="s">
        <v>377</v>
      </c>
      <c r="B643" s="2">
        <v>42</v>
      </c>
    </row>
    <row r="644" spans="1:2" x14ac:dyDescent="0.25">
      <c r="A644" t="s">
        <v>378</v>
      </c>
      <c r="B644" s="2">
        <v>43</v>
      </c>
    </row>
    <row r="645" spans="1:2" x14ac:dyDescent="0.25">
      <c r="A645" t="s">
        <v>379</v>
      </c>
      <c r="B645" s="2">
        <v>44</v>
      </c>
    </row>
    <row r="646" spans="1:2" x14ac:dyDescent="0.25">
      <c r="A646" t="s">
        <v>380</v>
      </c>
      <c r="B646" s="2">
        <v>45</v>
      </c>
    </row>
    <row r="647" spans="1:2" x14ac:dyDescent="0.25">
      <c r="A647" t="s">
        <v>381</v>
      </c>
      <c r="B647" s="2">
        <v>46</v>
      </c>
    </row>
    <row r="648" spans="1:2" x14ac:dyDescent="0.25">
      <c r="A648" t="s">
        <v>382</v>
      </c>
      <c r="B648" s="2">
        <v>47</v>
      </c>
    </row>
    <row r="649" spans="1:2" x14ac:dyDescent="0.25">
      <c r="A649" t="s">
        <v>383</v>
      </c>
      <c r="B649" s="2">
        <v>48</v>
      </c>
    </row>
    <row r="650" spans="1:2" x14ac:dyDescent="0.25">
      <c r="A650" t="s">
        <v>384</v>
      </c>
      <c r="B650" s="2">
        <v>49</v>
      </c>
    </row>
    <row r="651" spans="1:2" x14ac:dyDescent="0.25">
      <c r="A651" t="s">
        <v>385</v>
      </c>
      <c r="B651" s="2">
        <v>50</v>
      </c>
    </row>
    <row r="652" spans="1:2" x14ac:dyDescent="0.25">
      <c r="A652" t="s">
        <v>386</v>
      </c>
      <c r="B652" s="2">
        <v>51</v>
      </c>
    </row>
    <row r="653" spans="1:2" x14ac:dyDescent="0.25">
      <c r="A653" t="s">
        <v>387</v>
      </c>
      <c r="B653" s="2">
        <v>52</v>
      </c>
    </row>
    <row r="654" spans="1:2" x14ac:dyDescent="0.25">
      <c r="A654" t="s">
        <v>388</v>
      </c>
      <c r="B654" s="2">
        <v>53</v>
      </c>
    </row>
    <row r="655" spans="1:2" x14ac:dyDescent="0.25">
      <c r="A655" t="s">
        <v>389</v>
      </c>
      <c r="B655" s="2">
        <v>54</v>
      </c>
    </row>
    <row r="656" spans="1:2" x14ac:dyDescent="0.25">
      <c r="A656" t="s">
        <v>390</v>
      </c>
      <c r="B656" s="2">
        <v>55</v>
      </c>
    </row>
    <row r="657" spans="1:2" x14ac:dyDescent="0.25">
      <c r="A657" t="s">
        <v>391</v>
      </c>
      <c r="B657" s="2">
        <v>56</v>
      </c>
    </row>
    <row r="658" spans="1:2" x14ac:dyDescent="0.25">
      <c r="A658" t="s">
        <v>392</v>
      </c>
      <c r="B658" s="2">
        <v>57</v>
      </c>
    </row>
    <row r="659" spans="1:2" x14ac:dyDescent="0.25">
      <c r="A659" t="s">
        <v>393</v>
      </c>
      <c r="B659" s="2">
        <v>58</v>
      </c>
    </row>
    <row r="660" spans="1:2" x14ac:dyDescent="0.25">
      <c r="A660" t="s">
        <v>394</v>
      </c>
      <c r="B660" s="2">
        <v>60</v>
      </c>
    </row>
    <row r="661" spans="1:2" x14ac:dyDescent="0.25">
      <c r="A661" t="s">
        <v>395</v>
      </c>
      <c r="B661" s="2">
        <v>61</v>
      </c>
    </row>
    <row r="662" spans="1:2" x14ac:dyDescent="0.25">
      <c r="A662" t="s">
        <v>396</v>
      </c>
      <c r="B662" s="2">
        <v>62</v>
      </c>
    </row>
    <row r="663" spans="1:2" x14ac:dyDescent="0.25">
      <c r="A663" t="s">
        <v>397</v>
      </c>
      <c r="B663" s="2">
        <v>63</v>
      </c>
    </row>
    <row r="664" spans="1:2" x14ac:dyDescent="0.25">
      <c r="A664" t="s">
        <v>398</v>
      </c>
      <c r="B664" s="2">
        <v>65</v>
      </c>
    </row>
    <row r="665" spans="1:2" x14ac:dyDescent="0.25">
      <c r="A665" t="s">
        <v>399</v>
      </c>
      <c r="B665" s="2">
        <v>66</v>
      </c>
    </row>
    <row r="666" spans="1:2" x14ac:dyDescent="0.25">
      <c r="A666" t="s">
        <v>400</v>
      </c>
      <c r="B666" s="2">
        <v>67</v>
      </c>
    </row>
    <row r="667" spans="1:2" x14ac:dyDescent="0.25">
      <c r="A667" t="s">
        <v>401</v>
      </c>
      <c r="B667" s="2">
        <v>68</v>
      </c>
    </row>
    <row r="668" spans="1:2" x14ac:dyDescent="0.25">
      <c r="A668" t="s">
        <v>402</v>
      </c>
      <c r="B668" s="2">
        <v>70</v>
      </c>
    </row>
    <row r="669" spans="1:2" x14ac:dyDescent="0.25">
      <c r="A669" t="s">
        <v>403</v>
      </c>
      <c r="B669" s="2">
        <v>71</v>
      </c>
    </row>
    <row r="670" spans="1:2" x14ac:dyDescent="0.25">
      <c r="A670" t="s">
        <v>404</v>
      </c>
      <c r="B670" s="2">
        <v>72</v>
      </c>
    </row>
    <row r="671" spans="1:2" x14ac:dyDescent="0.25">
      <c r="A671" t="s">
        <v>405</v>
      </c>
      <c r="B671" s="2">
        <v>73</v>
      </c>
    </row>
    <row r="672" spans="1:2" x14ac:dyDescent="0.25">
      <c r="A672" t="s">
        <v>406</v>
      </c>
      <c r="B672" s="3" t="s">
        <v>795</v>
      </c>
    </row>
    <row r="673" spans="1:2" x14ac:dyDescent="0.25">
      <c r="A673" t="s">
        <v>407</v>
      </c>
      <c r="B673" s="3" t="s">
        <v>796</v>
      </c>
    </row>
    <row r="674" spans="1:2" x14ac:dyDescent="0.25">
      <c r="A674" t="s">
        <v>797</v>
      </c>
      <c r="B674" s="3" t="s">
        <v>798</v>
      </c>
    </row>
    <row r="675" spans="1:2" x14ac:dyDescent="0.25">
      <c r="A675" t="s">
        <v>799</v>
      </c>
      <c r="B675" s="3" t="s">
        <v>800</v>
      </c>
    </row>
    <row r="676" spans="1:2" x14ac:dyDescent="0.25">
      <c r="A676" t="s">
        <v>801</v>
      </c>
      <c r="B676" s="3" t="s">
        <v>802</v>
      </c>
    </row>
    <row r="677" spans="1:2" x14ac:dyDescent="0.25">
      <c r="A677" t="s">
        <v>803</v>
      </c>
      <c r="B677" s="3" t="s">
        <v>804</v>
      </c>
    </row>
    <row r="678" spans="1:2" x14ac:dyDescent="0.25">
      <c r="A678" t="s">
        <v>805</v>
      </c>
      <c r="B678" s="3" t="s">
        <v>806</v>
      </c>
    </row>
    <row r="679" spans="1:2" x14ac:dyDescent="0.25">
      <c r="A679" s="5" t="s">
        <v>807</v>
      </c>
      <c r="B679" s="3" t="s">
        <v>808</v>
      </c>
    </row>
    <row r="680" spans="1:2" x14ac:dyDescent="0.25">
      <c r="A680" t="s">
        <v>682</v>
      </c>
      <c r="B680" s="3" t="s">
        <v>809</v>
      </c>
    </row>
    <row r="681" spans="1:2" x14ac:dyDescent="0.25">
      <c r="A681" t="s">
        <v>683</v>
      </c>
      <c r="B681" s="3" t="s">
        <v>810</v>
      </c>
    </row>
    <row r="682" spans="1:2" x14ac:dyDescent="0.25">
      <c r="A682" t="s">
        <v>684</v>
      </c>
      <c r="B682" s="3" t="s">
        <v>811</v>
      </c>
    </row>
    <row r="683" spans="1:2" x14ac:dyDescent="0.25">
      <c r="A683" t="s">
        <v>685</v>
      </c>
      <c r="B683" s="3" t="s">
        <v>812</v>
      </c>
    </row>
    <row r="684" spans="1:2" x14ac:dyDescent="0.25">
      <c r="A684" t="s">
        <v>686</v>
      </c>
      <c r="B684" s="3" t="s">
        <v>813</v>
      </c>
    </row>
    <row r="685" spans="1:2" x14ac:dyDescent="0.25">
      <c r="A685" s="5" t="s">
        <v>687</v>
      </c>
      <c r="B685" s="3" t="s">
        <v>814</v>
      </c>
    </row>
    <row r="686" spans="1:2" x14ac:dyDescent="0.25">
      <c r="A686" s="6" t="s">
        <v>688</v>
      </c>
      <c r="B686" s="3" t="s">
        <v>815</v>
      </c>
    </row>
    <row r="687" spans="1:2" x14ac:dyDescent="0.25">
      <c r="A687" t="s">
        <v>408</v>
      </c>
      <c r="B687" s="3" t="s">
        <v>816</v>
      </c>
    </row>
    <row r="688" spans="1:2" x14ac:dyDescent="0.25">
      <c r="A688" t="s">
        <v>409</v>
      </c>
      <c r="B688" s="3" t="s">
        <v>817</v>
      </c>
    </row>
    <row r="689" spans="1:2" x14ac:dyDescent="0.25">
      <c r="A689" t="s">
        <v>410</v>
      </c>
      <c r="B689" s="3" t="s">
        <v>818</v>
      </c>
    </row>
    <row r="690" spans="1:2" x14ac:dyDescent="0.25">
      <c r="A690" t="s">
        <v>689</v>
      </c>
      <c r="B690" s="3" t="s">
        <v>819</v>
      </c>
    </row>
    <row r="691" spans="1:2" x14ac:dyDescent="0.25">
      <c r="A691" t="s">
        <v>690</v>
      </c>
      <c r="B691" s="3" t="s">
        <v>820</v>
      </c>
    </row>
    <row r="692" spans="1:2" x14ac:dyDescent="0.25">
      <c r="A692" s="5" t="s">
        <v>691</v>
      </c>
      <c r="B692" s="3" t="s">
        <v>821</v>
      </c>
    </row>
    <row r="693" spans="1:2" x14ac:dyDescent="0.25">
      <c r="A693" s="6" t="s">
        <v>692</v>
      </c>
      <c r="B693" s="3" t="s">
        <v>822</v>
      </c>
    </row>
    <row r="694" spans="1:2" x14ac:dyDescent="0.25">
      <c r="A694" s="6" t="s">
        <v>693</v>
      </c>
      <c r="B694" s="3" t="s">
        <v>823</v>
      </c>
    </row>
    <row r="695" spans="1:2" x14ac:dyDescent="0.25">
      <c r="A695" s="6" t="s">
        <v>694</v>
      </c>
      <c r="B695" s="3" t="s">
        <v>824</v>
      </c>
    </row>
    <row r="696" spans="1:2" x14ac:dyDescent="0.25">
      <c r="A696" t="s">
        <v>411</v>
      </c>
      <c r="B696" s="2">
        <v>1</v>
      </c>
    </row>
    <row r="697" spans="1:2" x14ac:dyDescent="0.25">
      <c r="A697" t="s">
        <v>412</v>
      </c>
      <c r="B697" s="2">
        <v>2</v>
      </c>
    </row>
    <row r="698" spans="1:2" x14ac:dyDescent="0.25">
      <c r="A698" t="s">
        <v>413</v>
      </c>
      <c r="B698" s="2">
        <v>3</v>
      </c>
    </row>
    <row r="699" spans="1:2" x14ac:dyDescent="0.25">
      <c r="A699" t="s">
        <v>414</v>
      </c>
      <c r="B699" s="2">
        <v>4</v>
      </c>
    </row>
    <row r="700" spans="1:2" x14ac:dyDescent="0.25">
      <c r="A700" t="s">
        <v>415</v>
      </c>
      <c r="B700" s="2">
        <v>5</v>
      </c>
    </row>
    <row r="701" spans="1:2" x14ac:dyDescent="0.25">
      <c r="A701" t="s">
        <v>825</v>
      </c>
      <c r="B701" s="2">
        <v>6</v>
      </c>
    </row>
    <row r="702" spans="1:2" x14ac:dyDescent="0.25">
      <c r="A702" t="s">
        <v>416</v>
      </c>
      <c r="B702" s="2">
        <v>7</v>
      </c>
    </row>
    <row r="703" spans="1:2" x14ac:dyDescent="0.25">
      <c r="A703" t="s">
        <v>417</v>
      </c>
      <c r="B703" s="2">
        <v>8</v>
      </c>
    </row>
    <row r="704" spans="1:2" x14ac:dyDescent="0.25">
      <c r="A704" t="s">
        <v>418</v>
      </c>
      <c r="B704" s="2">
        <v>10</v>
      </c>
    </row>
    <row r="705" spans="1:2" x14ac:dyDescent="0.25">
      <c r="A705" t="s">
        <v>826</v>
      </c>
      <c r="B705" s="2">
        <v>11</v>
      </c>
    </row>
    <row r="706" spans="1:2" x14ac:dyDescent="0.25">
      <c r="A706" t="s">
        <v>827</v>
      </c>
      <c r="B706" s="2">
        <v>12</v>
      </c>
    </row>
    <row r="707" spans="1:2" x14ac:dyDescent="0.25">
      <c r="A707" t="s">
        <v>828</v>
      </c>
      <c r="B707" s="2">
        <v>13</v>
      </c>
    </row>
    <row r="708" spans="1:2" x14ac:dyDescent="0.25">
      <c r="A708" t="s">
        <v>829</v>
      </c>
      <c r="B708" s="2">
        <v>14</v>
      </c>
    </row>
    <row r="709" spans="1:2" x14ac:dyDescent="0.25">
      <c r="A709" t="s">
        <v>419</v>
      </c>
      <c r="B709" s="2">
        <v>15</v>
      </c>
    </row>
    <row r="710" spans="1:2" x14ac:dyDescent="0.25">
      <c r="A710" t="s">
        <v>420</v>
      </c>
      <c r="B710" s="2">
        <v>16</v>
      </c>
    </row>
    <row r="711" spans="1:2" x14ac:dyDescent="0.25">
      <c r="A711" t="s">
        <v>421</v>
      </c>
      <c r="B711" s="2">
        <v>17</v>
      </c>
    </row>
    <row r="712" spans="1:2" x14ac:dyDescent="0.25">
      <c r="A712" t="s">
        <v>422</v>
      </c>
      <c r="B712" s="2">
        <v>18</v>
      </c>
    </row>
    <row r="713" spans="1:2" x14ac:dyDescent="0.25">
      <c r="A713" t="s">
        <v>423</v>
      </c>
      <c r="B713" s="2">
        <v>19</v>
      </c>
    </row>
    <row r="714" spans="1:2" x14ac:dyDescent="0.25">
      <c r="A714" t="s">
        <v>424</v>
      </c>
      <c r="B714" s="2">
        <v>20</v>
      </c>
    </row>
    <row r="715" spans="1:2" x14ac:dyDescent="0.25">
      <c r="A715" t="s">
        <v>425</v>
      </c>
      <c r="B715" s="2">
        <v>21</v>
      </c>
    </row>
    <row r="716" spans="1:2" x14ac:dyDescent="0.25">
      <c r="A716" t="s">
        <v>426</v>
      </c>
      <c r="B716" s="2">
        <v>22</v>
      </c>
    </row>
    <row r="717" spans="1:2" x14ac:dyDescent="0.25">
      <c r="A717" t="s">
        <v>427</v>
      </c>
      <c r="B717" s="2">
        <v>23</v>
      </c>
    </row>
    <row r="718" spans="1:2" x14ac:dyDescent="0.25">
      <c r="A718" t="s">
        <v>428</v>
      </c>
      <c r="B718" s="2">
        <v>24</v>
      </c>
    </row>
    <row r="719" spans="1:2" x14ac:dyDescent="0.25">
      <c r="A719" t="s">
        <v>429</v>
      </c>
      <c r="B719" s="2">
        <v>25</v>
      </c>
    </row>
    <row r="720" spans="1:2" x14ac:dyDescent="0.25">
      <c r="A720" t="s">
        <v>430</v>
      </c>
      <c r="B720" s="2">
        <v>26</v>
      </c>
    </row>
    <row r="721" spans="1:2" x14ac:dyDescent="0.25">
      <c r="A721" t="s">
        <v>431</v>
      </c>
      <c r="B721" s="2">
        <v>27</v>
      </c>
    </row>
    <row r="722" spans="1:2" x14ac:dyDescent="0.25">
      <c r="A722" t="s">
        <v>432</v>
      </c>
      <c r="B722" s="2">
        <v>28</v>
      </c>
    </row>
    <row r="723" spans="1:2" x14ac:dyDescent="0.25">
      <c r="A723" t="s">
        <v>433</v>
      </c>
      <c r="B723" s="2">
        <v>29</v>
      </c>
    </row>
    <row r="724" spans="1:2" x14ac:dyDescent="0.25">
      <c r="A724" t="s">
        <v>434</v>
      </c>
      <c r="B724" s="2">
        <v>30</v>
      </c>
    </row>
    <row r="725" spans="1:2" x14ac:dyDescent="0.25">
      <c r="A725" t="s">
        <v>435</v>
      </c>
      <c r="B725" s="2">
        <v>31</v>
      </c>
    </row>
    <row r="726" spans="1:2" x14ac:dyDescent="0.25">
      <c r="A726" t="s">
        <v>436</v>
      </c>
      <c r="B726" s="2">
        <v>32</v>
      </c>
    </row>
    <row r="727" spans="1:2" x14ac:dyDescent="0.25">
      <c r="A727" t="s">
        <v>437</v>
      </c>
      <c r="B727" s="2">
        <v>33</v>
      </c>
    </row>
    <row r="728" spans="1:2" x14ac:dyDescent="0.25">
      <c r="A728" t="s">
        <v>438</v>
      </c>
      <c r="B728" s="2">
        <v>34</v>
      </c>
    </row>
    <row r="729" spans="1:2" x14ac:dyDescent="0.25">
      <c r="A729" t="s">
        <v>439</v>
      </c>
      <c r="B729" s="2">
        <v>35</v>
      </c>
    </row>
    <row r="730" spans="1:2" x14ac:dyDescent="0.25">
      <c r="A730" t="s">
        <v>440</v>
      </c>
      <c r="B730" s="2">
        <v>36</v>
      </c>
    </row>
    <row r="731" spans="1:2" x14ac:dyDescent="0.25">
      <c r="A731" t="s">
        <v>441</v>
      </c>
      <c r="B731" s="2">
        <v>37</v>
      </c>
    </row>
    <row r="732" spans="1:2" x14ac:dyDescent="0.25">
      <c r="A732" t="s">
        <v>442</v>
      </c>
      <c r="B732" s="2">
        <v>39</v>
      </c>
    </row>
    <row r="733" spans="1:2" x14ac:dyDescent="0.25">
      <c r="A733" t="s">
        <v>830</v>
      </c>
      <c r="B733" s="2">
        <v>40</v>
      </c>
    </row>
    <row r="734" spans="1:2" x14ac:dyDescent="0.25">
      <c r="A734" t="s">
        <v>831</v>
      </c>
      <c r="B734" s="2">
        <v>41</v>
      </c>
    </row>
    <row r="735" spans="1:2" x14ac:dyDescent="0.25">
      <c r="A735" t="s">
        <v>832</v>
      </c>
      <c r="B735" s="2">
        <v>42</v>
      </c>
    </row>
    <row r="736" spans="1:2" x14ac:dyDescent="0.25">
      <c r="A736" t="s">
        <v>833</v>
      </c>
      <c r="B736" s="2">
        <v>43</v>
      </c>
    </row>
    <row r="737" spans="1:2" x14ac:dyDescent="0.25">
      <c r="A737" t="s">
        <v>443</v>
      </c>
      <c r="B737" s="2">
        <v>44</v>
      </c>
    </row>
    <row r="738" spans="1:2" x14ac:dyDescent="0.25">
      <c r="A738" t="s">
        <v>444</v>
      </c>
      <c r="B738" s="2">
        <v>45</v>
      </c>
    </row>
    <row r="739" spans="1:2" x14ac:dyDescent="0.25">
      <c r="A739" t="s">
        <v>445</v>
      </c>
      <c r="B739" s="2">
        <v>46</v>
      </c>
    </row>
    <row r="740" spans="1:2" x14ac:dyDescent="0.25">
      <c r="A740" t="s">
        <v>446</v>
      </c>
      <c r="B740" s="2">
        <v>47</v>
      </c>
    </row>
    <row r="741" spans="1:2" x14ac:dyDescent="0.25">
      <c r="A741" t="s">
        <v>447</v>
      </c>
      <c r="B741" s="2">
        <v>48</v>
      </c>
    </row>
    <row r="742" spans="1:2" x14ac:dyDescent="0.25">
      <c r="A742" t="s">
        <v>448</v>
      </c>
      <c r="B742" s="2">
        <v>49</v>
      </c>
    </row>
    <row r="743" spans="1:2" x14ac:dyDescent="0.25">
      <c r="A743" t="s">
        <v>449</v>
      </c>
      <c r="B743" s="2">
        <v>50</v>
      </c>
    </row>
    <row r="744" spans="1:2" x14ac:dyDescent="0.25">
      <c r="A744" t="s">
        <v>450</v>
      </c>
      <c r="B744" s="2">
        <v>51</v>
      </c>
    </row>
    <row r="745" spans="1:2" x14ac:dyDescent="0.25">
      <c r="A745" t="s">
        <v>451</v>
      </c>
      <c r="B745" s="2">
        <v>52</v>
      </c>
    </row>
    <row r="746" spans="1:2" x14ac:dyDescent="0.25">
      <c r="A746" t="s">
        <v>452</v>
      </c>
      <c r="B746" s="2">
        <v>53</v>
      </c>
    </row>
    <row r="747" spans="1:2" x14ac:dyDescent="0.25">
      <c r="A747" t="s">
        <v>453</v>
      </c>
      <c r="B747" s="2">
        <v>54</v>
      </c>
    </row>
    <row r="748" spans="1:2" x14ac:dyDescent="0.25">
      <c r="A748" t="s">
        <v>454</v>
      </c>
      <c r="B748" s="2">
        <v>55</v>
      </c>
    </row>
    <row r="749" spans="1:2" x14ac:dyDescent="0.25">
      <c r="A749" t="s">
        <v>455</v>
      </c>
      <c r="B749" s="2">
        <v>56</v>
      </c>
    </row>
    <row r="750" spans="1:2" x14ac:dyDescent="0.25">
      <c r="A750" t="s">
        <v>456</v>
      </c>
      <c r="B750" s="2">
        <v>57</v>
      </c>
    </row>
    <row r="751" spans="1:2" x14ac:dyDescent="0.25">
      <c r="A751" t="s">
        <v>457</v>
      </c>
      <c r="B751" s="2">
        <v>58</v>
      </c>
    </row>
    <row r="752" spans="1:2" x14ac:dyDescent="0.25">
      <c r="A752" t="s">
        <v>458</v>
      </c>
      <c r="B752" s="2">
        <v>59</v>
      </c>
    </row>
    <row r="753" spans="1:2" x14ac:dyDescent="0.25">
      <c r="A753" t="s">
        <v>459</v>
      </c>
      <c r="B753" s="2">
        <v>60</v>
      </c>
    </row>
    <row r="754" spans="1:2" x14ac:dyDescent="0.25">
      <c r="A754" t="s">
        <v>460</v>
      </c>
      <c r="B754" s="2">
        <v>61</v>
      </c>
    </row>
    <row r="755" spans="1:2" x14ac:dyDescent="0.25">
      <c r="A755" t="s">
        <v>461</v>
      </c>
      <c r="B755" s="2">
        <v>62</v>
      </c>
    </row>
    <row r="756" spans="1:2" x14ac:dyDescent="0.25">
      <c r="A756" t="s">
        <v>462</v>
      </c>
      <c r="B756" s="2">
        <v>63</v>
      </c>
    </row>
    <row r="757" spans="1:2" x14ac:dyDescent="0.25">
      <c r="A757" t="s">
        <v>463</v>
      </c>
      <c r="B757" s="2">
        <v>64</v>
      </c>
    </row>
    <row r="758" spans="1:2" x14ac:dyDescent="0.25">
      <c r="A758" t="s">
        <v>464</v>
      </c>
      <c r="B758" s="2">
        <v>65</v>
      </c>
    </row>
    <row r="759" spans="1:2" x14ac:dyDescent="0.25">
      <c r="A759" t="s">
        <v>465</v>
      </c>
      <c r="B759" s="2">
        <v>66</v>
      </c>
    </row>
    <row r="760" spans="1:2" x14ac:dyDescent="0.25">
      <c r="A760" t="s">
        <v>466</v>
      </c>
      <c r="B760" s="2">
        <v>68</v>
      </c>
    </row>
    <row r="761" spans="1:2" x14ac:dyDescent="0.25">
      <c r="A761" t="s">
        <v>467</v>
      </c>
      <c r="B761" s="2">
        <v>69</v>
      </c>
    </row>
    <row r="762" spans="1:2" x14ac:dyDescent="0.25">
      <c r="A762" t="s">
        <v>468</v>
      </c>
      <c r="B762" s="2">
        <v>70</v>
      </c>
    </row>
    <row r="763" spans="1:2" x14ac:dyDescent="0.25">
      <c r="A763" t="s">
        <v>469</v>
      </c>
      <c r="B763" s="2">
        <v>71</v>
      </c>
    </row>
    <row r="764" spans="1:2" x14ac:dyDescent="0.25">
      <c r="A764" t="s">
        <v>470</v>
      </c>
      <c r="B764" s="2">
        <v>73</v>
      </c>
    </row>
    <row r="765" spans="1:2" x14ac:dyDescent="0.25">
      <c r="A765" t="s">
        <v>471</v>
      </c>
      <c r="B765" s="2">
        <v>74</v>
      </c>
    </row>
    <row r="766" spans="1:2" x14ac:dyDescent="0.25">
      <c r="A766" t="s">
        <v>472</v>
      </c>
      <c r="B766" s="2">
        <v>75</v>
      </c>
    </row>
    <row r="767" spans="1:2" x14ac:dyDescent="0.25">
      <c r="A767" t="s">
        <v>473</v>
      </c>
      <c r="B767" s="2">
        <v>76</v>
      </c>
    </row>
    <row r="768" spans="1:2" x14ac:dyDescent="0.25">
      <c r="A768" t="s">
        <v>474</v>
      </c>
      <c r="B768" s="2">
        <v>78</v>
      </c>
    </row>
    <row r="769" spans="1:2" x14ac:dyDescent="0.25">
      <c r="A769" t="s">
        <v>475</v>
      </c>
      <c r="B769" s="2">
        <v>79</v>
      </c>
    </row>
    <row r="770" spans="1:2" x14ac:dyDescent="0.25">
      <c r="A770" t="s">
        <v>476</v>
      </c>
      <c r="B770" s="2">
        <v>80</v>
      </c>
    </row>
    <row r="771" spans="1:2" x14ac:dyDescent="0.25">
      <c r="A771" t="s">
        <v>477</v>
      </c>
      <c r="B771" s="2">
        <v>81</v>
      </c>
    </row>
    <row r="772" spans="1:2" x14ac:dyDescent="0.25">
      <c r="A772" t="s">
        <v>478</v>
      </c>
      <c r="B772" s="2">
        <v>83</v>
      </c>
    </row>
    <row r="773" spans="1:2" x14ac:dyDescent="0.25">
      <c r="A773" t="s">
        <v>479</v>
      </c>
      <c r="B773" s="2">
        <v>84</v>
      </c>
    </row>
    <row r="774" spans="1:2" x14ac:dyDescent="0.25">
      <c r="A774" t="s">
        <v>480</v>
      </c>
      <c r="B774" s="2">
        <v>85</v>
      </c>
    </row>
    <row r="775" spans="1:2" x14ac:dyDescent="0.25">
      <c r="A775" t="s">
        <v>481</v>
      </c>
      <c r="B775" s="2">
        <v>86</v>
      </c>
    </row>
    <row r="776" spans="1:2" x14ac:dyDescent="0.25">
      <c r="A776" t="s">
        <v>482</v>
      </c>
      <c r="B776" s="2">
        <v>88</v>
      </c>
    </row>
    <row r="777" spans="1:2" x14ac:dyDescent="0.25">
      <c r="A777" t="s">
        <v>483</v>
      </c>
      <c r="B777" s="2">
        <v>89</v>
      </c>
    </row>
    <row r="778" spans="1:2" x14ac:dyDescent="0.25">
      <c r="A778" t="s">
        <v>484</v>
      </c>
      <c r="B778" s="2">
        <v>90</v>
      </c>
    </row>
    <row r="779" spans="1:2" x14ac:dyDescent="0.25">
      <c r="A779" t="s">
        <v>485</v>
      </c>
      <c r="B779" s="2">
        <v>91</v>
      </c>
    </row>
    <row r="780" spans="1:2" x14ac:dyDescent="0.25">
      <c r="A780" t="s">
        <v>486</v>
      </c>
      <c r="B780" s="3" t="s">
        <v>834</v>
      </c>
    </row>
    <row r="781" spans="1:2" x14ac:dyDescent="0.25">
      <c r="A781" t="s">
        <v>487</v>
      </c>
      <c r="B781" s="3" t="s">
        <v>835</v>
      </c>
    </row>
    <row r="782" spans="1:2" x14ac:dyDescent="0.25">
      <c r="A782" t="s">
        <v>836</v>
      </c>
      <c r="B782" s="3" t="s">
        <v>837</v>
      </c>
    </row>
    <row r="783" spans="1:2" x14ac:dyDescent="0.25">
      <c r="A783" t="s">
        <v>838</v>
      </c>
      <c r="B783" s="3" t="s">
        <v>839</v>
      </c>
    </row>
    <row r="784" spans="1:2" x14ac:dyDescent="0.25">
      <c r="A784" t="s">
        <v>840</v>
      </c>
      <c r="B784" s="3" t="s">
        <v>841</v>
      </c>
    </row>
    <row r="785" spans="1:2" x14ac:dyDescent="0.25">
      <c r="A785" t="s">
        <v>842</v>
      </c>
      <c r="B785" s="3" t="s">
        <v>843</v>
      </c>
    </row>
    <row r="786" spans="1:2" x14ac:dyDescent="0.25">
      <c r="A786" t="s">
        <v>844</v>
      </c>
      <c r="B786" s="3" t="s">
        <v>845</v>
      </c>
    </row>
    <row r="787" spans="1:2" x14ac:dyDescent="0.25">
      <c r="A787" s="5" t="s">
        <v>846</v>
      </c>
      <c r="B787" s="3" t="s">
        <v>847</v>
      </c>
    </row>
    <row r="788" spans="1:2" x14ac:dyDescent="0.25">
      <c r="A788" t="s">
        <v>669</v>
      </c>
      <c r="B788" s="3" t="s">
        <v>848</v>
      </c>
    </row>
    <row r="789" spans="1:2" x14ac:dyDescent="0.25">
      <c r="A789" t="s">
        <v>670</v>
      </c>
      <c r="B789" s="3" t="s">
        <v>849</v>
      </c>
    </row>
    <row r="790" spans="1:2" x14ac:dyDescent="0.25">
      <c r="A790" t="s">
        <v>671</v>
      </c>
      <c r="B790" s="3" t="s">
        <v>850</v>
      </c>
    </row>
    <row r="791" spans="1:2" x14ac:dyDescent="0.25">
      <c r="A791" t="s">
        <v>672</v>
      </c>
      <c r="B791" s="3" t="s">
        <v>851</v>
      </c>
    </row>
    <row r="792" spans="1:2" x14ac:dyDescent="0.25">
      <c r="A792" t="s">
        <v>673</v>
      </c>
      <c r="B792" s="3" t="s">
        <v>852</v>
      </c>
    </row>
    <row r="793" spans="1:2" x14ac:dyDescent="0.25">
      <c r="A793" s="5" t="s">
        <v>674</v>
      </c>
      <c r="B793" s="3" t="s">
        <v>853</v>
      </c>
    </row>
    <row r="794" spans="1:2" x14ac:dyDescent="0.25">
      <c r="A794" s="6" t="s">
        <v>675</v>
      </c>
      <c r="B794" s="3" t="s">
        <v>854</v>
      </c>
    </row>
    <row r="795" spans="1:2" x14ac:dyDescent="0.25">
      <c r="A795" t="s">
        <v>488</v>
      </c>
      <c r="B795" s="3" t="s">
        <v>855</v>
      </c>
    </row>
    <row r="796" spans="1:2" x14ac:dyDescent="0.25">
      <c r="A796" t="s">
        <v>489</v>
      </c>
      <c r="B796" s="3" t="s">
        <v>856</v>
      </c>
    </row>
    <row r="797" spans="1:2" x14ac:dyDescent="0.25">
      <c r="A797" t="s">
        <v>490</v>
      </c>
      <c r="B797" s="3" t="s">
        <v>857</v>
      </c>
    </row>
    <row r="798" spans="1:2" x14ac:dyDescent="0.25">
      <c r="A798" t="s">
        <v>676</v>
      </c>
      <c r="B798" s="3" t="s">
        <v>858</v>
      </c>
    </row>
    <row r="799" spans="1:2" x14ac:dyDescent="0.25">
      <c r="A799" t="s">
        <v>677</v>
      </c>
      <c r="B799" s="3" t="s">
        <v>859</v>
      </c>
    </row>
    <row r="800" spans="1:2" x14ac:dyDescent="0.25">
      <c r="A800" s="5" t="s">
        <v>678</v>
      </c>
      <c r="B800" s="3" t="s">
        <v>860</v>
      </c>
    </row>
    <row r="801" spans="1:2" x14ac:dyDescent="0.25">
      <c r="A801" s="6" t="s">
        <v>679</v>
      </c>
      <c r="B801" s="3" t="s">
        <v>861</v>
      </c>
    </row>
    <row r="802" spans="1:2" x14ac:dyDescent="0.25">
      <c r="A802" s="6" t="s">
        <v>680</v>
      </c>
      <c r="B802" s="3" t="s">
        <v>862</v>
      </c>
    </row>
    <row r="803" spans="1:2" x14ac:dyDescent="0.25">
      <c r="A803" s="6" t="s">
        <v>681</v>
      </c>
      <c r="B803" s="3" t="s">
        <v>863</v>
      </c>
    </row>
    <row r="804" spans="1:2" x14ac:dyDescent="0.25">
      <c r="A804" t="s">
        <v>491</v>
      </c>
      <c r="B804" s="2">
        <v>1</v>
      </c>
    </row>
    <row r="805" spans="1:2" x14ac:dyDescent="0.25">
      <c r="A805" t="s">
        <v>492</v>
      </c>
      <c r="B805" s="2">
        <v>2</v>
      </c>
    </row>
    <row r="806" spans="1:2" x14ac:dyDescent="0.25">
      <c r="A806" t="s">
        <v>493</v>
      </c>
      <c r="B806" s="2">
        <v>3</v>
      </c>
    </row>
    <row r="807" spans="1:2" x14ac:dyDescent="0.25">
      <c r="A807" t="s">
        <v>494</v>
      </c>
      <c r="B807" s="2">
        <v>4</v>
      </c>
    </row>
    <row r="808" spans="1:2" x14ac:dyDescent="0.25">
      <c r="A808" t="s">
        <v>864</v>
      </c>
      <c r="B808" s="2">
        <v>5</v>
      </c>
    </row>
    <row r="809" spans="1:2" x14ac:dyDescent="0.25">
      <c r="A809" t="s">
        <v>495</v>
      </c>
      <c r="B809" s="2">
        <v>6</v>
      </c>
    </row>
    <row r="810" spans="1:2" x14ac:dyDescent="0.25">
      <c r="A810" t="s">
        <v>496</v>
      </c>
      <c r="B810" s="2">
        <v>7</v>
      </c>
    </row>
    <row r="811" spans="1:2" x14ac:dyDescent="0.25">
      <c r="A811" t="s">
        <v>497</v>
      </c>
      <c r="B811" s="2">
        <v>9</v>
      </c>
    </row>
    <row r="812" spans="1:2" x14ac:dyDescent="0.25">
      <c r="A812" t="s">
        <v>865</v>
      </c>
      <c r="B812" s="2">
        <v>10</v>
      </c>
    </row>
    <row r="813" spans="1:2" x14ac:dyDescent="0.25">
      <c r="A813" t="s">
        <v>866</v>
      </c>
      <c r="B813" s="2">
        <v>11</v>
      </c>
    </row>
    <row r="814" spans="1:2" x14ac:dyDescent="0.25">
      <c r="A814" t="s">
        <v>867</v>
      </c>
      <c r="B814" s="2">
        <v>12</v>
      </c>
    </row>
    <row r="815" spans="1:2" x14ac:dyDescent="0.25">
      <c r="A815" t="s">
        <v>868</v>
      </c>
      <c r="B815" s="2">
        <v>13</v>
      </c>
    </row>
    <row r="816" spans="1:2" x14ac:dyDescent="0.25">
      <c r="A816" t="s">
        <v>498</v>
      </c>
      <c r="B816" s="2">
        <v>14</v>
      </c>
    </row>
    <row r="817" spans="1:2" x14ac:dyDescent="0.25">
      <c r="A817" t="s">
        <v>499</v>
      </c>
      <c r="B817" s="2">
        <v>15</v>
      </c>
    </row>
    <row r="818" spans="1:2" x14ac:dyDescent="0.25">
      <c r="A818" t="s">
        <v>500</v>
      </c>
      <c r="B818" s="2">
        <v>16</v>
      </c>
    </row>
    <row r="819" spans="1:2" x14ac:dyDescent="0.25">
      <c r="A819" t="s">
        <v>501</v>
      </c>
      <c r="B819" s="2">
        <v>17</v>
      </c>
    </row>
    <row r="820" spans="1:2" x14ac:dyDescent="0.25">
      <c r="A820" t="s">
        <v>502</v>
      </c>
      <c r="B820" s="2">
        <v>18</v>
      </c>
    </row>
    <row r="821" spans="1:2" x14ac:dyDescent="0.25">
      <c r="A821" t="s">
        <v>503</v>
      </c>
      <c r="B821" s="2">
        <v>19</v>
      </c>
    </row>
    <row r="822" spans="1:2" x14ac:dyDescent="0.25">
      <c r="A822" t="s">
        <v>504</v>
      </c>
      <c r="B822" s="2">
        <v>20</v>
      </c>
    </row>
    <row r="823" spans="1:2" x14ac:dyDescent="0.25">
      <c r="A823" t="s">
        <v>505</v>
      </c>
      <c r="B823" s="2">
        <v>21</v>
      </c>
    </row>
    <row r="824" spans="1:2" x14ac:dyDescent="0.25">
      <c r="A824" t="s">
        <v>506</v>
      </c>
      <c r="B824" s="2">
        <v>22</v>
      </c>
    </row>
    <row r="825" spans="1:2" x14ac:dyDescent="0.25">
      <c r="A825" t="s">
        <v>507</v>
      </c>
      <c r="B825" s="2">
        <v>23</v>
      </c>
    </row>
    <row r="826" spans="1:2" x14ac:dyDescent="0.25">
      <c r="A826" t="s">
        <v>508</v>
      </c>
      <c r="B826" s="2">
        <v>24</v>
      </c>
    </row>
    <row r="827" spans="1:2" x14ac:dyDescent="0.25">
      <c r="A827" t="s">
        <v>509</v>
      </c>
      <c r="B827" s="2">
        <v>25</v>
      </c>
    </row>
    <row r="828" spans="1:2" x14ac:dyDescent="0.25">
      <c r="A828" t="s">
        <v>510</v>
      </c>
      <c r="B828" s="2">
        <v>26</v>
      </c>
    </row>
    <row r="829" spans="1:2" x14ac:dyDescent="0.25">
      <c r="A829" t="s">
        <v>511</v>
      </c>
      <c r="B829" s="2">
        <v>27</v>
      </c>
    </row>
    <row r="830" spans="1:2" x14ac:dyDescent="0.25">
      <c r="A830" t="s">
        <v>512</v>
      </c>
      <c r="B830" s="2">
        <v>28</v>
      </c>
    </row>
    <row r="831" spans="1:2" x14ac:dyDescent="0.25">
      <c r="A831" t="s">
        <v>513</v>
      </c>
      <c r="B831" s="2">
        <v>30</v>
      </c>
    </row>
    <row r="832" spans="1:2" x14ac:dyDescent="0.25">
      <c r="A832" t="s">
        <v>869</v>
      </c>
      <c r="B832" s="2">
        <v>31</v>
      </c>
    </row>
    <row r="833" spans="1:2" x14ac:dyDescent="0.25">
      <c r="A833" t="s">
        <v>870</v>
      </c>
      <c r="B833" s="2">
        <v>32</v>
      </c>
    </row>
    <row r="834" spans="1:2" x14ac:dyDescent="0.25">
      <c r="A834" t="s">
        <v>871</v>
      </c>
      <c r="B834" s="2">
        <v>33</v>
      </c>
    </row>
    <row r="835" spans="1:2" x14ac:dyDescent="0.25">
      <c r="A835" t="s">
        <v>872</v>
      </c>
      <c r="B835" s="2">
        <v>34</v>
      </c>
    </row>
    <row r="836" spans="1:2" x14ac:dyDescent="0.25">
      <c r="A836" t="s">
        <v>514</v>
      </c>
      <c r="B836" s="2">
        <v>35</v>
      </c>
    </row>
    <row r="837" spans="1:2" x14ac:dyDescent="0.25">
      <c r="A837" t="s">
        <v>515</v>
      </c>
      <c r="B837" s="2">
        <v>36</v>
      </c>
    </row>
    <row r="838" spans="1:2" x14ac:dyDescent="0.25">
      <c r="A838" t="s">
        <v>516</v>
      </c>
      <c r="B838" s="2">
        <v>37</v>
      </c>
    </row>
    <row r="839" spans="1:2" x14ac:dyDescent="0.25">
      <c r="A839" t="s">
        <v>517</v>
      </c>
      <c r="B839" s="2">
        <v>38</v>
      </c>
    </row>
    <row r="840" spans="1:2" x14ac:dyDescent="0.25">
      <c r="A840" t="s">
        <v>518</v>
      </c>
      <c r="B840" s="2">
        <v>39</v>
      </c>
    </row>
    <row r="841" spans="1:2" x14ac:dyDescent="0.25">
      <c r="A841" t="s">
        <v>519</v>
      </c>
      <c r="B841" s="2">
        <v>40</v>
      </c>
    </row>
    <row r="842" spans="1:2" x14ac:dyDescent="0.25">
      <c r="A842" t="s">
        <v>520</v>
      </c>
      <c r="B842" s="2">
        <v>41</v>
      </c>
    </row>
    <row r="843" spans="1:2" x14ac:dyDescent="0.25">
      <c r="A843" t="s">
        <v>521</v>
      </c>
      <c r="B843" s="2">
        <v>42</v>
      </c>
    </row>
    <row r="844" spans="1:2" x14ac:dyDescent="0.25">
      <c r="A844" t="s">
        <v>522</v>
      </c>
      <c r="B844" s="2">
        <v>43</v>
      </c>
    </row>
    <row r="845" spans="1:2" x14ac:dyDescent="0.25">
      <c r="A845" t="s">
        <v>523</v>
      </c>
      <c r="B845" s="2">
        <v>44</v>
      </c>
    </row>
    <row r="846" spans="1:2" x14ac:dyDescent="0.25">
      <c r="A846" t="s">
        <v>524</v>
      </c>
      <c r="B846" s="2">
        <v>45</v>
      </c>
    </row>
    <row r="847" spans="1:2" x14ac:dyDescent="0.25">
      <c r="A847" t="s">
        <v>525</v>
      </c>
      <c r="B847" s="2">
        <v>46</v>
      </c>
    </row>
    <row r="848" spans="1:2" x14ac:dyDescent="0.25">
      <c r="A848" t="s">
        <v>526</v>
      </c>
      <c r="B848" s="2">
        <v>47</v>
      </c>
    </row>
    <row r="849" spans="1:2" x14ac:dyDescent="0.25">
      <c r="A849" t="s">
        <v>527</v>
      </c>
      <c r="B849" s="2">
        <v>48</v>
      </c>
    </row>
    <row r="850" spans="1:2" x14ac:dyDescent="0.25">
      <c r="A850" t="s">
        <v>528</v>
      </c>
      <c r="B850" s="2">
        <v>49</v>
      </c>
    </row>
    <row r="851" spans="1:2" x14ac:dyDescent="0.25">
      <c r="A851" t="s">
        <v>529</v>
      </c>
      <c r="B851" s="2">
        <v>51</v>
      </c>
    </row>
    <row r="852" spans="1:2" x14ac:dyDescent="0.25">
      <c r="A852" t="s">
        <v>530</v>
      </c>
      <c r="B852" s="2">
        <v>52</v>
      </c>
    </row>
    <row r="853" spans="1:2" x14ac:dyDescent="0.25">
      <c r="A853" t="s">
        <v>531</v>
      </c>
      <c r="B853" s="2">
        <v>53</v>
      </c>
    </row>
    <row r="854" spans="1:2" x14ac:dyDescent="0.25">
      <c r="A854" t="s">
        <v>532</v>
      </c>
      <c r="B854" s="2">
        <v>54</v>
      </c>
    </row>
    <row r="855" spans="1:2" x14ac:dyDescent="0.25">
      <c r="A855" t="s">
        <v>533</v>
      </c>
      <c r="B855" s="2">
        <v>55</v>
      </c>
    </row>
    <row r="856" spans="1:2" x14ac:dyDescent="0.25">
      <c r="A856" t="s">
        <v>534</v>
      </c>
      <c r="B856" s="2">
        <v>56</v>
      </c>
    </row>
    <row r="857" spans="1:2" x14ac:dyDescent="0.25">
      <c r="A857" t="s">
        <v>535</v>
      </c>
      <c r="B857" s="2">
        <v>57</v>
      </c>
    </row>
    <row r="858" spans="1:2" x14ac:dyDescent="0.25">
      <c r="A858" t="s">
        <v>536</v>
      </c>
      <c r="B858" s="2">
        <v>58</v>
      </c>
    </row>
    <row r="859" spans="1:2" x14ac:dyDescent="0.25">
      <c r="A859" t="s">
        <v>537</v>
      </c>
      <c r="B859" s="3" t="s">
        <v>873</v>
      </c>
    </row>
    <row r="860" spans="1:2" x14ac:dyDescent="0.25">
      <c r="A860" t="s">
        <v>538</v>
      </c>
      <c r="B860" s="3" t="s">
        <v>874</v>
      </c>
    </row>
    <row r="861" spans="1:2" x14ac:dyDescent="0.25">
      <c r="A861" t="s">
        <v>875</v>
      </c>
      <c r="B861" s="3" t="s">
        <v>876</v>
      </c>
    </row>
    <row r="862" spans="1:2" x14ac:dyDescent="0.25">
      <c r="A862" t="s">
        <v>877</v>
      </c>
      <c r="B862" s="3" t="s">
        <v>878</v>
      </c>
    </row>
    <row r="863" spans="1:2" x14ac:dyDescent="0.25">
      <c r="A863" t="s">
        <v>879</v>
      </c>
      <c r="B863" s="3" t="s">
        <v>880</v>
      </c>
    </row>
    <row r="864" spans="1:2" x14ac:dyDescent="0.25">
      <c r="A864" t="s">
        <v>881</v>
      </c>
      <c r="B864" s="3" t="s">
        <v>882</v>
      </c>
    </row>
    <row r="865" spans="1:2" x14ac:dyDescent="0.25">
      <c r="A865" t="s">
        <v>883</v>
      </c>
      <c r="B865" s="3" t="s">
        <v>884</v>
      </c>
    </row>
    <row r="866" spans="1:2" x14ac:dyDescent="0.25">
      <c r="A866" s="5" t="s">
        <v>885</v>
      </c>
      <c r="B866" s="3" t="s">
        <v>886</v>
      </c>
    </row>
    <row r="867" spans="1:2" x14ac:dyDescent="0.25">
      <c r="A867" t="s">
        <v>656</v>
      </c>
      <c r="B867" s="3" t="s">
        <v>887</v>
      </c>
    </row>
    <row r="868" spans="1:2" x14ac:dyDescent="0.25">
      <c r="A868" t="s">
        <v>657</v>
      </c>
      <c r="B868" s="3" t="s">
        <v>888</v>
      </c>
    </row>
    <row r="869" spans="1:2" x14ac:dyDescent="0.25">
      <c r="A869" t="s">
        <v>658</v>
      </c>
      <c r="B869" s="3" t="s">
        <v>889</v>
      </c>
    </row>
    <row r="870" spans="1:2" x14ac:dyDescent="0.25">
      <c r="A870" t="s">
        <v>659</v>
      </c>
      <c r="B870" s="3" t="s">
        <v>890</v>
      </c>
    </row>
    <row r="871" spans="1:2" x14ac:dyDescent="0.25">
      <c r="A871" t="s">
        <v>660</v>
      </c>
      <c r="B871" s="3" t="s">
        <v>891</v>
      </c>
    </row>
    <row r="872" spans="1:2" x14ac:dyDescent="0.25">
      <c r="A872" s="5" t="s">
        <v>661</v>
      </c>
      <c r="B872" s="3" t="s">
        <v>892</v>
      </c>
    </row>
    <row r="873" spans="1:2" x14ac:dyDescent="0.25">
      <c r="A873" s="6" t="s">
        <v>662</v>
      </c>
      <c r="B873" s="3" t="s">
        <v>893</v>
      </c>
    </row>
    <row r="874" spans="1:2" x14ac:dyDescent="0.25">
      <c r="A874" t="s">
        <v>539</v>
      </c>
      <c r="B874" s="3" t="s">
        <v>894</v>
      </c>
    </row>
    <row r="875" spans="1:2" x14ac:dyDescent="0.25">
      <c r="A875" t="s">
        <v>540</v>
      </c>
      <c r="B875" s="3" t="s">
        <v>895</v>
      </c>
    </row>
    <row r="876" spans="1:2" x14ac:dyDescent="0.25">
      <c r="A876" t="s">
        <v>541</v>
      </c>
      <c r="B876" s="3" t="s">
        <v>896</v>
      </c>
    </row>
    <row r="877" spans="1:2" x14ac:dyDescent="0.25">
      <c r="A877" t="s">
        <v>663</v>
      </c>
      <c r="B877" s="3" t="s">
        <v>897</v>
      </c>
    </row>
    <row r="878" spans="1:2" x14ac:dyDescent="0.25">
      <c r="A878" t="s">
        <v>664</v>
      </c>
      <c r="B878" s="3" t="s">
        <v>898</v>
      </c>
    </row>
    <row r="879" spans="1:2" x14ac:dyDescent="0.25">
      <c r="A879" s="5" t="s">
        <v>665</v>
      </c>
      <c r="B879" s="3" t="s">
        <v>899</v>
      </c>
    </row>
    <row r="880" spans="1:2" x14ac:dyDescent="0.25">
      <c r="A880" s="6" t="s">
        <v>666</v>
      </c>
      <c r="B880" s="3" t="s">
        <v>900</v>
      </c>
    </row>
    <row r="881" spans="1:2" x14ac:dyDescent="0.25">
      <c r="A881" s="6" t="s">
        <v>667</v>
      </c>
      <c r="B881" s="3" t="s">
        <v>901</v>
      </c>
    </row>
    <row r="882" spans="1:2" x14ac:dyDescent="0.25">
      <c r="A882" s="6" t="s">
        <v>668</v>
      </c>
      <c r="B882" s="3" t="s">
        <v>902</v>
      </c>
    </row>
  </sheetData>
  <sortState xmlns:xlrd2="http://schemas.microsoft.com/office/spreadsheetml/2017/richdata2" columnSort="1" ref="B4:R4">
    <sortCondition ref="B4:R4"/>
  </sortState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BE1FB-4D3A-7844-810F-E005E52BAF69}">
  <dimension ref="A1:AF90"/>
  <sheetViews>
    <sheetView zoomScale="135" zoomScaleNormal="90" workbookViewId="0">
      <selection activeCell="P95" sqref="P95"/>
    </sheetView>
  </sheetViews>
  <sheetFormatPr defaultColWidth="10.77734375" defaultRowHeight="14.4" x14ac:dyDescent="0.25"/>
  <cols>
    <col min="4" max="4" width="13.77734375" style="62" bestFit="1" customWidth="1"/>
    <col min="8" max="8" width="13.77734375" style="62" bestFit="1" customWidth="1"/>
    <col min="10" max="10" width="12.6640625" bestFit="1" customWidth="1"/>
    <col min="12" max="12" width="17" bestFit="1" customWidth="1"/>
    <col min="13" max="13" width="19.44140625" bestFit="1" customWidth="1"/>
    <col min="14" max="14" width="11" bestFit="1" customWidth="1"/>
    <col min="16" max="16" width="10.77734375" style="11" customWidth="1"/>
  </cols>
  <sheetData>
    <row r="1" spans="1:32" x14ac:dyDescent="0.25">
      <c r="AB1" s="12"/>
      <c r="AD1" s="4" t="s">
        <v>1251</v>
      </c>
      <c r="AF1" s="4" t="s">
        <v>1251</v>
      </c>
    </row>
    <row r="2" spans="1:32" ht="15.6" x14ac:dyDescent="0.25">
      <c r="B2" s="154">
        <f>Summary!C1</f>
        <v>0</v>
      </c>
      <c r="C2" s="155"/>
      <c r="D2" s="155"/>
      <c r="E2" s="22"/>
      <c r="F2" s="154">
        <f>Summary!C2</f>
        <v>0</v>
      </c>
      <c r="G2" s="155"/>
      <c r="H2" s="155"/>
      <c r="I2" s="12"/>
      <c r="J2" s="23" t="s">
        <v>53</v>
      </c>
      <c r="K2" s="12"/>
      <c r="L2" s="153" t="s">
        <v>1252</v>
      </c>
      <c r="M2" s="150"/>
      <c r="N2" s="150"/>
      <c r="O2" s="12"/>
      <c r="P2" s="83" t="s">
        <v>1253</v>
      </c>
      <c r="U2" s="23"/>
      <c r="V2" s="23"/>
      <c r="AB2" s="12"/>
    </row>
    <row r="3" spans="1:32" ht="16.5" customHeight="1" thickBot="1" x14ac:dyDescent="0.3">
      <c r="A3" s="24" t="s">
        <v>1254</v>
      </c>
      <c r="B3" s="22"/>
      <c r="C3" s="22"/>
      <c r="D3" s="63"/>
      <c r="E3" s="22"/>
      <c r="F3" s="22"/>
      <c r="G3" s="22"/>
      <c r="H3" s="63"/>
      <c r="I3" s="12"/>
      <c r="J3" s="12"/>
      <c r="K3" s="25" t="s">
        <v>1254</v>
      </c>
      <c r="L3" s="69"/>
      <c r="M3" s="69"/>
      <c r="N3" s="12"/>
      <c r="O3" s="25" t="s">
        <v>1254</v>
      </c>
      <c r="P3" s="84"/>
      <c r="U3" s="24" t="s">
        <v>1254</v>
      </c>
      <c r="W3" s="24" t="s">
        <v>1254</v>
      </c>
      <c r="AB3" s="12"/>
    </row>
    <row r="4" spans="1:32" ht="15.6" x14ac:dyDescent="0.25">
      <c r="B4" s="143" t="s">
        <v>1234</v>
      </c>
      <c r="C4" s="141"/>
      <c r="D4" s="142"/>
      <c r="E4" s="26"/>
      <c r="F4" s="143" t="str">
        <f>B4</f>
        <v>bartender</v>
      </c>
      <c r="G4" s="141"/>
      <c r="H4" s="142"/>
      <c r="I4" s="26"/>
      <c r="J4" s="27"/>
      <c r="L4" s="144" t="str">
        <f>F4</f>
        <v>bartender</v>
      </c>
      <c r="M4" s="145"/>
      <c r="N4" s="146"/>
      <c r="O4" s="28"/>
      <c r="P4" s="85"/>
      <c r="Q4" s="28"/>
      <c r="R4" s="28"/>
      <c r="S4" s="28"/>
      <c r="T4" s="28"/>
      <c r="U4" s="12"/>
      <c r="V4" s="12"/>
      <c r="AB4" s="12"/>
    </row>
    <row r="5" spans="1:32" ht="15.6" x14ac:dyDescent="0.25">
      <c r="B5" s="147" t="s">
        <v>1247</v>
      </c>
      <c r="C5" s="148"/>
      <c r="D5" s="64" t="s">
        <v>1260</v>
      </c>
      <c r="E5" s="29"/>
      <c r="F5" s="147" t="s">
        <v>1247</v>
      </c>
      <c r="G5" s="148"/>
      <c r="H5" s="64" t="s">
        <v>1260</v>
      </c>
      <c r="I5" s="30"/>
      <c r="J5" s="31" t="s">
        <v>1255</v>
      </c>
      <c r="L5" s="149" t="s">
        <v>1256</v>
      </c>
      <c r="M5" s="150"/>
      <c r="N5" s="151"/>
      <c r="O5" s="32"/>
      <c r="P5" s="86"/>
      <c r="Q5" s="32"/>
      <c r="R5" s="153"/>
      <c r="S5" s="153"/>
      <c r="T5" s="153"/>
      <c r="U5" s="23"/>
      <c r="V5" s="23"/>
      <c r="X5" s="32"/>
      <c r="AB5" s="12"/>
    </row>
    <row r="6" spans="1:32" ht="15.6" x14ac:dyDescent="0.25">
      <c r="B6" s="33" t="s">
        <v>1246</v>
      </c>
      <c r="C6" s="34" t="s">
        <v>1257</v>
      </c>
      <c r="D6" s="65" t="s">
        <v>27</v>
      </c>
      <c r="E6" s="29"/>
      <c r="F6" s="33" t="s">
        <v>1246</v>
      </c>
      <c r="G6" s="34" t="s">
        <v>1257</v>
      </c>
      <c r="H6" s="65" t="s">
        <v>27</v>
      </c>
      <c r="I6" s="30"/>
      <c r="J6" s="35"/>
      <c r="L6" s="70">
        <f>B2</f>
        <v>0</v>
      </c>
      <c r="M6" s="71">
        <f>F2</f>
        <v>0</v>
      </c>
      <c r="N6" s="36" t="s">
        <v>1258</v>
      </c>
      <c r="O6" s="26"/>
      <c r="P6" s="86" t="s">
        <v>1253</v>
      </c>
      <c r="Q6" s="26"/>
      <c r="R6" s="26"/>
      <c r="S6" s="26"/>
      <c r="T6" s="26"/>
      <c r="U6" s="26"/>
      <c r="V6" s="26"/>
      <c r="X6" s="28"/>
      <c r="Y6" s="28"/>
      <c r="Z6" s="28"/>
      <c r="AB6" s="12"/>
    </row>
    <row r="7" spans="1:32" ht="15.6" x14ac:dyDescent="0.25">
      <c r="B7" s="37" t="str">
        <f>B4</f>
        <v>bartender</v>
      </c>
      <c r="C7" s="34" t="s">
        <v>48</v>
      </c>
      <c r="D7" s="66">
        <f>'C1'!G5</f>
        <v>0</v>
      </c>
      <c r="E7" s="29"/>
      <c r="F7" s="37" t="str">
        <f>B4</f>
        <v>bartender</v>
      </c>
      <c r="G7" s="34" t="s">
        <v>48</v>
      </c>
      <c r="H7" s="66">
        <f>'C1'!AA5</f>
        <v>0</v>
      </c>
      <c r="I7" s="30"/>
      <c r="J7" s="38" t="e">
        <f>H7/D7-1</f>
        <v>#DIV/0!</v>
      </c>
      <c r="L7" s="39">
        <f>'C1'!Q5</f>
        <v>0</v>
      </c>
      <c r="M7" s="1">
        <f>'C1'!AK5</f>
        <v>0</v>
      </c>
      <c r="N7" s="40">
        <f>IFERROR(M7-L7,NA())</f>
        <v>0</v>
      </c>
      <c r="O7" s="29"/>
      <c r="P7" s="87" cm="1">
        <f t="array" ref="P7">bdRateHermite(D7:D11,L7:L11,H7:H11,M7:M11)</f>
        <v>0</v>
      </c>
      <c r="Q7" s="29"/>
      <c r="R7" s="30"/>
      <c r="S7" s="30"/>
      <c r="T7" s="30"/>
      <c r="U7" s="30"/>
      <c r="V7" s="41"/>
      <c r="X7" s="42"/>
      <c r="Y7" s="42"/>
      <c r="Z7" s="43"/>
      <c r="AB7" s="44"/>
    </row>
    <row r="8" spans="1:32" ht="15.6" x14ac:dyDescent="0.25">
      <c r="B8" s="37" t="str">
        <f>B4</f>
        <v>bartender</v>
      </c>
      <c r="C8" s="34" t="s">
        <v>49</v>
      </c>
      <c r="D8" s="66">
        <f>'C1'!G6</f>
        <v>0</v>
      </c>
      <c r="E8" s="29"/>
      <c r="F8" s="37" t="str">
        <f>B4</f>
        <v>bartender</v>
      </c>
      <c r="G8" s="34" t="s">
        <v>49</v>
      </c>
      <c r="H8" s="66">
        <f>'C1'!AA6</f>
        <v>0</v>
      </c>
      <c r="I8" s="30"/>
      <c r="J8" s="38" t="e">
        <f>H8/D8-1</f>
        <v>#DIV/0!</v>
      </c>
      <c r="L8" s="39">
        <f>'C1'!Q6</f>
        <v>0</v>
      </c>
      <c r="M8" s="1">
        <f>'C1'!AK6</f>
        <v>0</v>
      </c>
      <c r="N8" s="40">
        <f>IFERROR(M8-L8,NA())</f>
        <v>0</v>
      </c>
      <c r="O8" s="29"/>
      <c r="P8" s="86"/>
      <c r="Q8" s="29"/>
      <c r="R8" s="30"/>
      <c r="S8" s="30"/>
      <c r="T8" s="30"/>
      <c r="U8" s="30"/>
      <c r="V8" s="41"/>
      <c r="X8" s="42"/>
      <c r="Y8" s="42"/>
      <c r="Z8" s="43"/>
      <c r="AB8" s="12"/>
    </row>
    <row r="9" spans="1:32" ht="15.6" x14ac:dyDescent="0.25">
      <c r="B9" s="37" t="str">
        <f>B4</f>
        <v>bartender</v>
      </c>
      <c r="C9" s="34" t="s">
        <v>50</v>
      </c>
      <c r="D9" s="66">
        <f>'C1'!G7</f>
        <v>0</v>
      </c>
      <c r="E9" s="29"/>
      <c r="F9" s="37" t="str">
        <f>B4</f>
        <v>bartender</v>
      </c>
      <c r="G9" s="34" t="s">
        <v>50</v>
      </c>
      <c r="H9" s="66">
        <f>'C1'!AA7</f>
        <v>0</v>
      </c>
      <c r="I9" s="30"/>
      <c r="J9" s="38" t="e">
        <f>H9/D9-1</f>
        <v>#DIV/0!</v>
      </c>
      <c r="L9" s="39">
        <f>'C1'!Q7</f>
        <v>0</v>
      </c>
      <c r="M9" s="1">
        <f>'C1'!AK7</f>
        <v>0</v>
      </c>
      <c r="N9" s="40">
        <f>IFERROR(M9-L9,NA())</f>
        <v>0</v>
      </c>
      <c r="O9" s="29"/>
      <c r="P9" s="86"/>
      <c r="Q9" s="29"/>
      <c r="R9" s="30"/>
      <c r="S9" s="30"/>
      <c r="T9" s="30"/>
      <c r="U9" s="30"/>
      <c r="V9" s="41"/>
      <c r="X9" s="42"/>
      <c r="Y9" s="42"/>
      <c r="Z9" s="43"/>
      <c r="AB9" s="12"/>
    </row>
    <row r="10" spans="1:32" ht="15.6" x14ac:dyDescent="0.25">
      <c r="B10" s="37" t="str">
        <f>B4</f>
        <v>bartender</v>
      </c>
      <c r="C10" s="34" t="s">
        <v>51</v>
      </c>
      <c r="D10" s="66">
        <f>'C1'!G8</f>
        <v>0</v>
      </c>
      <c r="E10" s="29"/>
      <c r="F10" s="37" t="str">
        <f>B4</f>
        <v>bartender</v>
      </c>
      <c r="G10" s="34" t="s">
        <v>51</v>
      </c>
      <c r="H10" s="66">
        <f>'C1'!AA8</f>
        <v>0</v>
      </c>
      <c r="I10" s="30"/>
      <c r="J10" s="38" t="e">
        <f>H10/D10-1</f>
        <v>#DIV/0!</v>
      </c>
      <c r="L10" s="39">
        <f>'C1'!Q8</f>
        <v>0</v>
      </c>
      <c r="M10" s="1">
        <f>'C1'!AK8</f>
        <v>0</v>
      </c>
      <c r="N10" s="40">
        <f>IFERROR(M10-L10,NA())</f>
        <v>0</v>
      </c>
      <c r="O10" s="29"/>
      <c r="P10" s="86"/>
      <c r="Q10" s="29"/>
      <c r="R10" s="30"/>
      <c r="S10" s="30"/>
      <c r="T10" s="30"/>
      <c r="U10" s="30"/>
      <c r="V10" s="41"/>
      <c r="X10" s="42"/>
      <c r="Y10" s="42"/>
      <c r="Z10" s="43"/>
      <c r="AB10" s="12"/>
    </row>
    <row r="11" spans="1:32" ht="16.5" customHeight="1" thickBot="1" x14ac:dyDescent="0.3">
      <c r="B11" s="37" t="str">
        <f>B4</f>
        <v>bartender</v>
      </c>
      <c r="C11" s="34" t="s">
        <v>1259</v>
      </c>
      <c r="D11" s="66">
        <f>'C1'!G9</f>
        <v>0</v>
      </c>
      <c r="E11" s="29"/>
      <c r="F11" s="37" t="str">
        <f>B4</f>
        <v>bartender</v>
      </c>
      <c r="G11" s="34" t="s">
        <v>1259</v>
      </c>
      <c r="H11" s="66">
        <f>'C1'!AA9</f>
        <v>0</v>
      </c>
      <c r="I11" s="30"/>
      <c r="J11" s="38" t="e">
        <f>H11/D11-1</f>
        <v>#DIV/0!</v>
      </c>
      <c r="L11" s="39">
        <f>'C1'!Q9</f>
        <v>0</v>
      </c>
      <c r="M11" s="1">
        <f>'C1'!AK9</f>
        <v>0</v>
      </c>
      <c r="N11" s="40">
        <f>IFERROR(M11-L11,NA())</f>
        <v>0</v>
      </c>
      <c r="O11" s="29"/>
      <c r="P11" s="88"/>
      <c r="Q11" s="29"/>
      <c r="R11" s="30"/>
      <c r="S11" s="30"/>
      <c r="T11" s="30"/>
      <c r="U11" s="30"/>
      <c r="V11" s="41"/>
      <c r="X11" s="42"/>
      <c r="Y11" s="42"/>
      <c r="Z11" s="43"/>
      <c r="AB11" s="44"/>
    </row>
    <row r="12" spans="1:32" ht="16.5" customHeight="1" x14ac:dyDescent="0.25">
      <c r="B12" s="45"/>
      <c r="C12" s="46"/>
      <c r="D12" s="67"/>
      <c r="F12" s="45"/>
      <c r="G12" s="46"/>
      <c r="H12" s="67"/>
      <c r="J12" s="47">
        <f>MIN(D7:D10,H7:H10)</f>
        <v>0</v>
      </c>
      <c r="L12" s="48"/>
      <c r="M12" s="49"/>
      <c r="N12" s="50"/>
      <c r="O12" s="29"/>
      <c r="P12" s="85"/>
      <c r="Q12" s="29"/>
      <c r="R12" s="30"/>
      <c r="S12" s="30"/>
      <c r="T12" s="30"/>
      <c r="U12" s="30"/>
      <c r="V12" s="51"/>
      <c r="X12" s="42"/>
      <c r="Y12" s="42"/>
      <c r="Z12" s="43"/>
      <c r="AB12" s="12"/>
    </row>
    <row r="13" spans="1:32" ht="16.5" customHeight="1" thickBot="1" x14ac:dyDescent="0.3">
      <c r="B13" s="52"/>
      <c r="C13" s="53"/>
      <c r="D13" s="68"/>
      <c r="E13" s="29"/>
      <c r="F13" s="52"/>
      <c r="G13" s="53"/>
      <c r="H13" s="68"/>
      <c r="I13" s="30"/>
      <c r="J13" s="54">
        <f>MAX(D7:D10,H7:H10)</f>
        <v>0</v>
      </c>
      <c r="L13" s="55">
        <f>L12</f>
        <v>0</v>
      </c>
      <c r="M13" s="56">
        <f>M12</f>
        <v>0</v>
      </c>
      <c r="N13" s="57"/>
      <c r="O13" s="29"/>
      <c r="P13" s="89"/>
      <c r="Q13" s="29"/>
      <c r="R13" s="30"/>
      <c r="S13" s="30"/>
      <c r="T13" s="30"/>
      <c r="U13" s="30"/>
      <c r="V13" s="51"/>
      <c r="X13" s="58"/>
      <c r="Y13" s="58"/>
      <c r="Z13" s="43"/>
      <c r="AB13" s="12"/>
    </row>
    <row r="14" spans="1:32" ht="16.5" customHeight="1" thickBot="1" x14ac:dyDescent="0.3">
      <c r="B14" s="22"/>
      <c r="C14" s="22"/>
      <c r="D14" s="63"/>
      <c r="E14" s="29"/>
      <c r="F14" s="22"/>
      <c r="G14" s="22"/>
      <c r="H14" s="63"/>
      <c r="I14" s="30"/>
      <c r="J14" s="59"/>
      <c r="L14" s="60"/>
      <c r="M14" s="60"/>
      <c r="N14" s="61"/>
      <c r="O14" s="29"/>
      <c r="P14" s="84"/>
      <c r="Q14" s="29"/>
      <c r="R14" s="30"/>
      <c r="S14" s="30"/>
      <c r="T14" s="30"/>
      <c r="U14" s="30"/>
      <c r="V14" s="51"/>
      <c r="X14" s="58"/>
      <c r="Y14" s="58"/>
      <c r="Z14" s="43"/>
      <c r="AB14" s="12"/>
    </row>
    <row r="15" spans="1:32" ht="15.6" x14ac:dyDescent="0.25">
      <c r="B15" s="152" t="s">
        <v>1235</v>
      </c>
      <c r="C15" s="141"/>
      <c r="D15" s="142"/>
      <c r="E15" s="26"/>
      <c r="F15" s="143" t="str">
        <f>B15</f>
        <v>cinema</v>
      </c>
      <c r="G15" s="141"/>
      <c r="H15" s="142"/>
      <c r="I15" s="26"/>
      <c r="J15" s="27"/>
      <c r="L15" s="144" t="str">
        <f>F15</f>
        <v>cinema</v>
      </c>
      <c r="M15" s="145"/>
      <c r="N15" s="146"/>
      <c r="O15" s="28"/>
      <c r="P15" s="85"/>
    </row>
    <row r="16" spans="1:32" ht="15.6" x14ac:dyDescent="0.25">
      <c r="B16" s="147" t="s">
        <v>1247</v>
      </c>
      <c r="C16" s="148"/>
      <c r="D16" s="64" t="s">
        <v>1260</v>
      </c>
      <c r="E16" s="29"/>
      <c r="F16" s="147" t="s">
        <v>1247</v>
      </c>
      <c r="G16" s="148"/>
      <c r="H16" s="64" t="s">
        <v>1260</v>
      </c>
      <c r="I16" s="30"/>
      <c r="J16" s="31" t="s">
        <v>1255</v>
      </c>
      <c r="L16" s="149" t="s">
        <v>1256</v>
      </c>
      <c r="M16" s="150"/>
      <c r="N16" s="151"/>
      <c r="O16" s="32"/>
      <c r="P16" s="86"/>
    </row>
    <row r="17" spans="2:16" ht="15.6" x14ac:dyDescent="0.25">
      <c r="B17" s="33" t="s">
        <v>1246</v>
      </c>
      <c r="C17" s="34" t="s">
        <v>1257</v>
      </c>
      <c r="D17" s="65" t="s">
        <v>27</v>
      </c>
      <c r="E17" s="29"/>
      <c r="F17" s="33" t="s">
        <v>1246</v>
      </c>
      <c r="G17" s="34" t="s">
        <v>1257</v>
      </c>
      <c r="H17" s="65" t="s">
        <v>27</v>
      </c>
      <c r="I17" s="30"/>
      <c r="J17" s="35"/>
      <c r="L17" s="70">
        <f>B2</f>
        <v>0</v>
      </c>
      <c r="M17" s="71">
        <f>F2</f>
        <v>0</v>
      </c>
      <c r="N17" s="36" t="s">
        <v>1258</v>
      </c>
      <c r="O17" s="26"/>
      <c r="P17" s="86" t="s">
        <v>1253</v>
      </c>
    </row>
    <row r="18" spans="2:16" ht="15.6" x14ac:dyDescent="0.25">
      <c r="B18" s="37" t="str">
        <f>B15</f>
        <v>cinema</v>
      </c>
      <c r="C18" s="34" t="s">
        <v>48</v>
      </c>
      <c r="D18" s="66">
        <f>'C1'!G10</f>
        <v>0</v>
      </c>
      <c r="E18" s="29"/>
      <c r="F18" s="37" t="str">
        <f>B15</f>
        <v>cinema</v>
      </c>
      <c r="G18" s="34" t="s">
        <v>48</v>
      </c>
      <c r="H18" s="66">
        <f>'C1'!AA10</f>
        <v>0</v>
      </c>
      <c r="I18" s="30"/>
      <c r="J18" s="38" t="e">
        <f>H18/D18-1</f>
        <v>#DIV/0!</v>
      </c>
      <c r="L18" s="39">
        <f>'C1'!Q10</f>
        <v>0</v>
      </c>
      <c r="M18" s="1">
        <f>'C1'!AK10</f>
        <v>0</v>
      </c>
      <c r="N18" s="40">
        <f>IFERROR(M18-L18,NA())</f>
        <v>0</v>
      </c>
      <c r="O18" s="29"/>
      <c r="P18" s="87" cm="1">
        <f t="array" ref="P18">bdRateHermite(D18:D22,L18:L22,H18:H22,M18:M22)</f>
        <v>0</v>
      </c>
    </row>
    <row r="19" spans="2:16" ht="15.6" x14ac:dyDescent="0.25">
      <c r="B19" s="37" t="str">
        <f>B15</f>
        <v>cinema</v>
      </c>
      <c r="C19" s="34" t="s">
        <v>49</v>
      </c>
      <c r="D19" s="66">
        <f>'C1'!G11</f>
        <v>0</v>
      </c>
      <c r="E19" s="29"/>
      <c r="F19" s="37" t="str">
        <f>B15</f>
        <v>cinema</v>
      </c>
      <c r="G19" s="34" t="s">
        <v>49</v>
      </c>
      <c r="H19" s="66">
        <f>'C1'!AA11</f>
        <v>0</v>
      </c>
      <c r="I19" s="30"/>
      <c r="J19" s="38" t="e">
        <f>H19/D19-1</f>
        <v>#DIV/0!</v>
      </c>
      <c r="L19" s="39">
        <f>'C1'!Q11</f>
        <v>0</v>
      </c>
      <c r="M19" s="1">
        <f>'C1'!AK11</f>
        <v>0</v>
      </c>
      <c r="N19" s="40">
        <f>IFERROR(M19-L19,NA())</f>
        <v>0</v>
      </c>
      <c r="O19" s="29"/>
      <c r="P19" s="86"/>
    </row>
    <row r="20" spans="2:16" ht="15.6" x14ac:dyDescent="0.25">
      <c r="B20" s="37" t="str">
        <f>B15</f>
        <v>cinema</v>
      </c>
      <c r="C20" s="34" t="s">
        <v>50</v>
      </c>
      <c r="D20" s="66">
        <f>'C1'!G12</f>
        <v>0</v>
      </c>
      <c r="E20" s="29"/>
      <c r="F20" s="37" t="str">
        <f>B15</f>
        <v>cinema</v>
      </c>
      <c r="G20" s="34" t="s">
        <v>50</v>
      </c>
      <c r="H20" s="66">
        <f>'C1'!AA12</f>
        <v>0</v>
      </c>
      <c r="I20" s="30"/>
      <c r="J20" s="38" t="e">
        <f>H20/D20-1</f>
        <v>#DIV/0!</v>
      </c>
      <c r="L20" s="39">
        <f>'C1'!Q12</f>
        <v>0</v>
      </c>
      <c r="M20" s="1">
        <f>'C1'!AK12</f>
        <v>0</v>
      </c>
      <c r="N20" s="40">
        <f>IFERROR(M20-L20,NA())</f>
        <v>0</v>
      </c>
      <c r="O20" s="29"/>
      <c r="P20" s="86"/>
    </row>
    <row r="21" spans="2:16" ht="15.6" x14ac:dyDescent="0.25">
      <c r="B21" s="37" t="str">
        <f>B15</f>
        <v>cinema</v>
      </c>
      <c r="C21" s="34" t="s">
        <v>51</v>
      </c>
      <c r="D21" s="66">
        <f>'C1'!G13</f>
        <v>0</v>
      </c>
      <c r="E21" s="29"/>
      <c r="F21" s="37" t="str">
        <f>B15</f>
        <v>cinema</v>
      </c>
      <c r="G21" s="34" t="s">
        <v>51</v>
      </c>
      <c r="H21" s="66">
        <f>'C1'!AA13</f>
        <v>0</v>
      </c>
      <c r="I21" s="30"/>
      <c r="J21" s="38" t="e">
        <f>H21/D21-1</f>
        <v>#DIV/0!</v>
      </c>
      <c r="L21" s="39">
        <f>'C1'!Q13</f>
        <v>0</v>
      </c>
      <c r="M21" s="1">
        <f>'C1'!AK13</f>
        <v>0</v>
      </c>
      <c r="N21" s="40">
        <f>IFERROR(M21-L21,NA())</f>
        <v>0</v>
      </c>
      <c r="O21" s="29"/>
      <c r="P21" s="86"/>
    </row>
    <row r="22" spans="2:16" ht="16.2" thickBot="1" x14ac:dyDescent="0.3">
      <c r="B22" s="37" t="str">
        <f>B15</f>
        <v>cinema</v>
      </c>
      <c r="C22" s="34" t="s">
        <v>1259</v>
      </c>
      <c r="D22" s="66">
        <f>'C1'!G14</f>
        <v>0</v>
      </c>
      <c r="E22" s="29"/>
      <c r="F22" s="37" t="str">
        <f>B15</f>
        <v>cinema</v>
      </c>
      <c r="G22" s="34" t="s">
        <v>1259</v>
      </c>
      <c r="H22" s="66">
        <f>'C1'!AA14</f>
        <v>0</v>
      </c>
      <c r="I22" s="30"/>
      <c r="J22" s="38" t="e">
        <f>H22/D22-1</f>
        <v>#DIV/0!</v>
      </c>
      <c r="L22" s="39">
        <f>'C1'!Q14</f>
        <v>0</v>
      </c>
      <c r="M22" s="1">
        <f>'C1'!AK14</f>
        <v>0</v>
      </c>
      <c r="N22" s="40">
        <f>IFERROR(M22-L22,NA())</f>
        <v>0</v>
      </c>
      <c r="O22" s="29"/>
      <c r="P22" s="88"/>
    </row>
    <row r="23" spans="2:16" ht="15.6" x14ac:dyDescent="0.25">
      <c r="B23" s="45"/>
      <c r="C23" s="46"/>
      <c r="D23" s="67"/>
      <c r="F23" s="45"/>
      <c r="G23" s="46"/>
      <c r="H23" s="67"/>
      <c r="J23" s="47">
        <f>MIN(D18:D21,H18:H21)</f>
        <v>0</v>
      </c>
      <c r="L23" s="48"/>
      <c r="M23" s="49"/>
      <c r="N23" s="50"/>
      <c r="O23" s="29"/>
      <c r="P23" s="85"/>
    </row>
    <row r="24" spans="2:16" ht="16.2" thickBot="1" x14ac:dyDescent="0.3">
      <c r="B24" s="52"/>
      <c r="C24" s="53"/>
      <c r="D24" s="68"/>
      <c r="E24" s="29"/>
      <c r="F24" s="52"/>
      <c r="G24" s="53"/>
      <c r="H24" s="68"/>
      <c r="I24" s="30"/>
      <c r="J24" s="54">
        <f>MAX(D18:D21,H18:H21)</f>
        <v>0</v>
      </c>
      <c r="L24" s="55">
        <f>L23</f>
        <v>0</v>
      </c>
      <c r="M24" s="56">
        <f>M23</f>
        <v>0</v>
      </c>
      <c r="N24" s="57"/>
      <c r="O24" s="29"/>
      <c r="P24" s="89"/>
    </row>
    <row r="25" spans="2:16" ht="15" thickBot="1" x14ac:dyDescent="0.3"/>
    <row r="26" spans="2:16" ht="15.6" x14ac:dyDescent="0.25">
      <c r="B26" s="140" t="s">
        <v>1263</v>
      </c>
      <c r="C26" s="141"/>
      <c r="D26" s="142"/>
      <c r="E26" s="26"/>
      <c r="F26" s="143" t="str">
        <f>B26</f>
        <v>photo</v>
      </c>
      <c r="G26" s="141"/>
      <c r="H26" s="142"/>
      <c r="I26" s="26"/>
      <c r="J26" s="27"/>
      <c r="L26" s="144" t="str">
        <f>F26</f>
        <v>photo</v>
      </c>
      <c r="M26" s="145"/>
      <c r="N26" s="146"/>
      <c r="O26" s="28"/>
      <c r="P26" s="85"/>
    </row>
    <row r="27" spans="2:16" ht="15.6" x14ac:dyDescent="0.25">
      <c r="B27" s="147" t="s">
        <v>1247</v>
      </c>
      <c r="C27" s="148"/>
      <c r="D27" s="64" t="s">
        <v>1260</v>
      </c>
      <c r="E27" s="29"/>
      <c r="F27" s="147" t="s">
        <v>1247</v>
      </c>
      <c r="G27" s="148"/>
      <c r="H27" s="64" t="s">
        <v>1260</v>
      </c>
      <c r="I27" s="30"/>
      <c r="J27" s="31" t="s">
        <v>1255</v>
      </c>
      <c r="L27" s="149" t="s">
        <v>1256</v>
      </c>
      <c r="M27" s="150"/>
      <c r="N27" s="151"/>
      <c r="O27" s="32"/>
      <c r="P27" s="86"/>
    </row>
    <row r="28" spans="2:16" ht="15.6" x14ac:dyDescent="0.25">
      <c r="B28" s="33" t="s">
        <v>1246</v>
      </c>
      <c r="C28" s="34" t="s">
        <v>1257</v>
      </c>
      <c r="D28" s="65" t="s">
        <v>27</v>
      </c>
      <c r="E28" s="29"/>
      <c r="F28" s="33" t="s">
        <v>1246</v>
      </c>
      <c r="G28" s="34" t="s">
        <v>1257</v>
      </c>
      <c r="H28" s="65" t="s">
        <v>27</v>
      </c>
      <c r="I28" s="30"/>
      <c r="J28" s="35"/>
      <c r="L28" s="70">
        <f>B2</f>
        <v>0</v>
      </c>
      <c r="M28" s="71">
        <f>F2</f>
        <v>0</v>
      </c>
      <c r="N28" s="36" t="s">
        <v>1258</v>
      </c>
      <c r="O28" s="26"/>
      <c r="P28" s="86" t="s">
        <v>1253</v>
      </c>
    </row>
    <row r="29" spans="2:16" ht="15.6" x14ac:dyDescent="0.25">
      <c r="B29" s="37" t="str">
        <f>B26</f>
        <v>photo</v>
      </c>
      <c r="C29" s="34" t="s">
        <v>48</v>
      </c>
      <c r="D29" s="66">
        <f>'C1'!G15</f>
        <v>0</v>
      </c>
      <c r="E29" s="29"/>
      <c r="F29" s="37" t="str">
        <f>B26</f>
        <v>photo</v>
      </c>
      <c r="G29" s="34" t="s">
        <v>48</v>
      </c>
      <c r="H29" s="66">
        <f>'C1'!AA15</f>
        <v>0</v>
      </c>
      <c r="I29" s="30"/>
      <c r="J29" s="38" t="e">
        <f>H29/D29-1</f>
        <v>#DIV/0!</v>
      </c>
      <c r="L29" s="39">
        <f>'C1'!Q15</f>
        <v>0</v>
      </c>
      <c r="M29" s="1">
        <f>'C1'!AK15</f>
        <v>0</v>
      </c>
      <c r="N29" s="40">
        <f>IFERROR(M29-L29,NA())</f>
        <v>0</v>
      </c>
      <c r="O29" s="29"/>
      <c r="P29" s="87" cm="1">
        <f t="array" ref="P29">bdRateHermite(D29:D33,L29:L33,H29:H33,M29:M33)</f>
        <v>0</v>
      </c>
    </row>
    <row r="30" spans="2:16" ht="15.6" x14ac:dyDescent="0.25">
      <c r="B30" s="37" t="str">
        <f>B26</f>
        <v>photo</v>
      </c>
      <c r="C30" s="34" t="s">
        <v>49</v>
      </c>
      <c r="D30" s="66">
        <f>'C1'!G16</f>
        <v>0</v>
      </c>
      <c r="E30" s="29"/>
      <c r="F30" s="37" t="str">
        <f>B26</f>
        <v>photo</v>
      </c>
      <c r="G30" s="34" t="s">
        <v>49</v>
      </c>
      <c r="H30" s="66">
        <f>'C1'!AA16</f>
        <v>0</v>
      </c>
      <c r="I30" s="30"/>
      <c r="J30" s="38" t="e">
        <f>H30/D30-1</f>
        <v>#DIV/0!</v>
      </c>
      <c r="L30" s="39">
        <f>'C1'!Q16</f>
        <v>0</v>
      </c>
      <c r="M30" s="1">
        <f>'C1'!AK16</f>
        <v>0</v>
      </c>
      <c r="N30" s="40">
        <f>IFERROR(M30-L30,NA())</f>
        <v>0</v>
      </c>
      <c r="O30" s="29"/>
      <c r="P30" s="86"/>
    </row>
    <row r="31" spans="2:16" ht="15.6" x14ac:dyDescent="0.25">
      <c r="B31" s="37" t="str">
        <f>B26</f>
        <v>photo</v>
      </c>
      <c r="C31" s="34" t="s">
        <v>50</v>
      </c>
      <c r="D31" s="66">
        <f>'C1'!G17</f>
        <v>0</v>
      </c>
      <c r="E31" s="29"/>
      <c r="F31" s="37" t="str">
        <f>B26</f>
        <v>photo</v>
      </c>
      <c r="G31" s="34" t="s">
        <v>50</v>
      </c>
      <c r="H31" s="66">
        <f>'C1'!AA17</f>
        <v>0</v>
      </c>
      <c r="I31" s="30"/>
      <c r="J31" s="38" t="e">
        <f>H31/D31-1</f>
        <v>#DIV/0!</v>
      </c>
      <c r="L31" s="39">
        <f>'C1'!Q17</f>
        <v>0</v>
      </c>
      <c r="M31" s="1">
        <f>'C1'!AK17</f>
        <v>0</v>
      </c>
      <c r="N31" s="40">
        <f>IFERROR(M31-L31,NA())</f>
        <v>0</v>
      </c>
      <c r="O31" s="29"/>
      <c r="P31" s="86"/>
    </row>
    <row r="32" spans="2:16" ht="15.6" x14ac:dyDescent="0.25">
      <c r="B32" s="37" t="str">
        <f>B26</f>
        <v>photo</v>
      </c>
      <c r="C32" s="34" t="s">
        <v>51</v>
      </c>
      <c r="D32" s="66">
        <f>'C1'!G18</f>
        <v>0</v>
      </c>
      <c r="E32" s="29"/>
      <c r="F32" s="37" t="str">
        <f>B26</f>
        <v>photo</v>
      </c>
      <c r="G32" s="34" t="s">
        <v>51</v>
      </c>
      <c r="H32" s="66">
        <f>'C1'!AA18</f>
        <v>0</v>
      </c>
      <c r="I32" s="30"/>
      <c r="J32" s="38" t="e">
        <f>H32/D32-1</f>
        <v>#DIV/0!</v>
      </c>
      <c r="L32" s="39">
        <f>'C1'!Q18</f>
        <v>0</v>
      </c>
      <c r="M32" s="1">
        <f>'C1'!AK18</f>
        <v>0</v>
      </c>
      <c r="N32" s="40">
        <f>IFERROR(M32-L32,NA())</f>
        <v>0</v>
      </c>
      <c r="O32" s="29"/>
      <c r="P32" s="86"/>
    </row>
    <row r="33" spans="2:16" ht="16.2" thickBot="1" x14ac:dyDescent="0.3">
      <c r="B33" s="37" t="str">
        <f>B26</f>
        <v>photo</v>
      </c>
      <c r="C33" s="34" t="s">
        <v>1259</v>
      </c>
      <c r="D33" s="66">
        <f>'C1'!G19</f>
        <v>0</v>
      </c>
      <c r="E33" s="29"/>
      <c r="F33" s="37" t="str">
        <f>B26</f>
        <v>photo</v>
      </c>
      <c r="G33" s="34" t="s">
        <v>1259</v>
      </c>
      <c r="H33" s="66">
        <f>'C1'!AA19</f>
        <v>0</v>
      </c>
      <c r="I33" s="30"/>
      <c r="J33" s="38" t="e">
        <f>H33/D33-1</f>
        <v>#DIV/0!</v>
      </c>
      <c r="L33" s="39">
        <f>'C1'!Q19</f>
        <v>0</v>
      </c>
      <c r="M33" s="1">
        <f>'C1'!AK19</f>
        <v>0</v>
      </c>
      <c r="N33" s="40">
        <f>IFERROR(M33-L33,NA())</f>
        <v>0</v>
      </c>
      <c r="O33" s="29"/>
      <c r="P33" s="88"/>
    </row>
    <row r="34" spans="2:16" ht="15.6" x14ac:dyDescent="0.25">
      <c r="B34" s="45"/>
      <c r="C34" s="46"/>
      <c r="D34" s="67"/>
      <c r="F34" s="45"/>
      <c r="G34" s="46"/>
      <c r="H34" s="67"/>
      <c r="J34" s="47">
        <f>MIN(D29:D32,H29:H32)</f>
        <v>0</v>
      </c>
      <c r="L34" s="48"/>
      <c r="M34" s="49"/>
      <c r="N34" s="50"/>
      <c r="O34" s="29"/>
      <c r="P34" s="85"/>
    </row>
    <row r="35" spans="2:16" ht="16.2" thickBot="1" x14ac:dyDescent="0.3">
      <c r="B35" s="52"/>
      <c r="C35" s="53"/>
      <c r="D35" s="68"/>
      <c r="E35" s="29"/>
      <c r="F35" s="52"/>
      <c r="G35" s="53"/>
      <c r="H35" s="68"/>
      <c r="I35" s="30"/>
      <c r="J35" s="54">
        <f>MAX(D29:D32,H29:H32)</f>
        <v>0</v>
      </c>
      <c r="L35" s="55">
        <f>L34</f>
        <v>0</v>
      </c>
      <c r="M35" s="56">
        <f>M34</f>
        <v>0</v>
      </c>
      <c r="N35" s="57"/>
      <c r="O35" s="29"/>
      <c r="P35" s="89"/>
    </row>
    <row r="36" spans="2:16" ht="15" thickBot="1" x14ac:dyDescent="0.3"/>
    <row r="37" spans="2:16" ht="15.6" x14ac:dyDescent="0.25">
      <c r="B37" s="140" t="s">
        <v>1264</v>
      </c>
      <c r="C37" s="141"/>
      <c r="D37" s="142"/>
      <c r="E37" s="26"/>
      <c r="F37" s="143" t="str">
        <f>B37</f>
        <v>toy</v>
      </c>
      <c r="G37" s="141"/>
      <c r="H37" s="142"/>
      <c r="I37" s="26"/>
      <c r="J37" s="27"/>
      <c r="L37" s="144" t="str">
        <f>F37</f>
        <v>toy</v>
      </c>
      <c r="M37" s="145"/>
      <c r="N37" s="146"/>
      <c r="O37" s="28"/>
      <c r="P37" s="85"/>
    </row>
    <row r="38" spans="2:16" ht="15.6" x14ac:dyDescent="0.25">
      <c r="B38" s="147" t="s">
        <v>1247</v>
      </c>
      <c r="C38" s="148"/>
      <c r="D38" s="64" t="s">
        <v>1260</v>
      </c>
      <c r="E38" s="29"/>
      <c r="F38" s="147" t="s">
        <v>1247</v>
      </c>
      <c r="G38" s="148"/>
      <c r="H38" s="64" t="s">
        <v>1260</v>
      </c>
      <c r="I38" s="30"/>
      <c r="J38" s="31" t="s">
        <v>1255</v>
      </c>
      <c r="L38" s="149" t="s">
        <v>1256</v>
      </c>
      <c r="M38" s="150"/>
      <c r="N38" s="151"/>
      <c r="O38" s="32"/>
      <c r="P38" s="86"/>
    </row>
    <row r="39" spans="2:16" ht="15.6" x14ac:dyDescent="0.25">
      <c r="B39" s="33" t="s">
        <v>1246</v>
      </c>
      <c r="C39" s="34" t="s">
        <v>1257</v>
      </c>
      <c r="D39" s="65" t="s">
        <v>27</v>
      </c>
      <c r="E39" s="29"/>
      <c r="F39" s="33" t="s">
        <v>1246</v>
      </c>
      <c r="G39" s="34" t="s">
        <v>1257</v>
      </c>
      <c r="H39" s="65" t="s">
        <v>27</v>
      </c>
      <c r="I39" s="30"/>
      <c r="J39" s="35"/>
      <c r="L39" s="70">
        <f>B2</f>
        <v>0</v>
      </c>
      <c r="M39" s="71">
        <f>F2</f>
        <v>0</v>
      </c>
      <c r="N39" s="36" t="s">
        <v>1258</v>
      </c>
      <c r="O39" s="26"/>
      <c r="P39" s="86" t="s">
        <v>1253</v>
      </c>
    </row>
    <row r="40" spans="2:16" ht="15.6" x14ac:dyDescent="0.25">
      <c r="B40" s="37" t="str">
        <f>B37</f>
        <v>toy</v>
      </c>
      <c r="C40" s="34" t="s">
        <v>48</v>
      </c>
      <c r="D40" s="66">
        <f>'C1'!G20</f>
        <v>0</v>
      </c>
      <c r="E40" s="29"/>
      <c r="F40" s="37" t="str">
        <f>B37</f>
        <v>toy</v>
      </c>
      <c r="G40" s="34" t="s">
        <v>48</v>
      </c>
      <c r="H40" s="66">
        <f>'C1'!AA20</f>
        <v>0</v>
      </c>
      <c r="I40" s="30"/>
      <c r="J40" s="38" t="e">
        <f>H40/D40-1</f>
        <v>#DIV/0!</v>
      </c>
      <c r="L40" s="39">
        <f>'C1'!Q20</f>
        <v>0</v>
      </c>
      <c r="M40" s="1">
        <f>'C1'!AK20</f>
        <v>0</v>
      </c>
      <c r="N40" s="40">
        <f>IFERROR(M40-L40,NA())</f>
        <v>0</v>
      </c>
      <c r="O40" s="29"/>
      <c r="P40" s="87" cm="1">
        <f t="array" ref="P40">bdRateHermite(D40:D44,L40:L44,H40:H44,M40:M44)</f>
        <v>0</v>
      </c>
    </row>
    <row r="41" spans="2:16" ht="15.6" x14ac:dyDescent="0.25">
      <c r="B41" s="37" t="str">
        <f>B37</f>
        <v>toy</v>
      </c>
      <c r="C41" s="34" t="s">
        <v>49</v>
      </c>
      <c r="D41" s="66">
        <f>'C1'!G21</f>
        <v>0</v>
      </c>
      <c r="E41" s="29"/>
      <c r="F41" s="37" t="str">
        <f>B37</f>
        <v>toy</v>
      </c>
      <c r="G41" s="34" t="s">
        <v>49</v>
      </c>
      <c r="H41" s="66">
        <f>'C1'!AA21</f>
        <v>0</v>
      </c>
      <c r="I41" s="30"/>
      <c r="J41" s="38" t="e">
        <f>H41/D41-1</f>
        <v>#DIV/0!</v>
      </c>
      <c r="L41" s="39">
        <f>'C1'!Q21</f>
        <v>0</v>
      </c>
      <c r="M41" s="1">
        <f>'C1'!AK21</f>
        <v>0</v>
      </c>
      <c r="N41" s="40">
        <f>IFERROR(M41-L41,NA())</f>
        <v>0</v>
      </c>
      <c r="O41" s="29"/>
      <c r="P41" s="86"/>
    </row>
    <row r="42" spans="2:16" ht="15.6" x14ac:dyDescent="0.25">
      <c r="B42" s="37" t="str">
        <f>B37</f>
        <v>toy</v>
      </c>
      <c r="C42" s="34" t="s">
        <v>50</v>
      </c>
      <c r="D42" s="66">
        <f>'C1'!G22</f>
        <v>0</v>
      </c>
      <c r="E42" s="29"/>
      <c r="F42" s="37" t="str">
        <f>B37</f>
        <v>toy</v>
      </c>
      <c r="G42" s="34" t="s">
        <v>50</v>
      </c>
      <c r="H42" s="66">
        <f>'C1'!AA22</f>
        <v>0</v>
      </c>
      <c r="I42" s="30"/>
      <c r="J42" s="38" t="e">
        <f>H42/D42-1</f>
        <v>#DIV/0!</v>
      </c>
      <c r="L42" s="39">
        <f>'C1'!Q22</f>
        <v>0</v>
      </c>
      <c r="M42" s="1">
        <f>'C1'!AK22</f>
        <v>0</v>
      </c>
      <c r="N42" s="40">
        <f>IFERROR(M42-L42,NA())</f>
        <v>0</v>
      </c>
      <c r="O42" s="29"/>
      <c r="P42" s="86"/>
    </row>
    <row r="43" spans="2:16" ht="15.6" x14ac:dyDescent="0.25">
      <c r="B43" s="37" t="str">
        <f>B37</f>
        <v>toy</v>
      </c>
      <c r="C43" s="34" t="s">
        <v>51</v>
      </c>
      <c r="D43" s="66">
        <f>'C1'!G23</f>
        <v>0</v>
      </c>
      <c r="E43" s="29"/>
      <c r="F43" s="37" t="str">
        <f>B37</f>
        <v>toy</v>
      </c>
      <c r="G43" s="34" t="s">
        <v>51</v>
      </c>
      <c r="H43" s="66">
        <f>'C1'!AA23</f>
        <v>0</v>
      </c>
      <c r="I43" s="30"/>
      <c r="J43" s="38" t="e">
        <f>H43/D43-1</f>
        <v>#DIV/0!</v>
      </c>
      <c r="L43" s="39">
        <f>'C1'!Q23</f>
        <v>0</v>
      </c>
      <c r="M43" s="1">
        <f>'C1'!AK23</f>
        <v>0</v>
      </c>
      <c r="N43" s="40">
        <f>IFERROR(M43-L43,NA())</f>
        <v>0</v>
      </c>
      <c r="O43" s="29"/>
      <c r="P43" s="86"/>
    </row>
    <row r="44" spans="2:16" ht="16.2" thickBot="1" x14ac:dyDescent="0.3">
      <c r="B44" s="37" t="str">
        <f>B37</f>
        <v>toy</v>
      </c>
      <c r="C44" s="34" t="s">
        <v>1259</v>
      </c>
      <c r="D44" s="66">
        <f>'C1'!G24</f>
        <v>0</v>
      </c>
      <c r="E44" s="29"/>
      <c r="F44" s="37" t="str">
        <f>B37</f>
        <v>toy</v>
      </c>
      <c r="G44" s="34" t="s">
        <v>1259</v>
      </c>
      <c r="H44" s="66">
        <f>'C1'!AA24</f>
        <v>0</v>
      </c>
      <c r="I44" s="30"/>
      <c r="J44" s="38" t="e">
        <f>H44/D44-1</f>
        <v>#DIV/0!</v>
      </c>
      <c r="L44" s="39">
        <f>'C1'!Q24</f>
        <v>0</v>
      </c>
      <c r="M44" s="1">
        <f>'C1'!AK24</f>
        <v>0</v>
      </c>
      <c r="N44" s="40">
        <f>IFERROR(M44-L44,NA())</f>
        <v>0</v>
      </c>
      <c r="O44" s="29"/>
      <c r="P44" s="88"/>
    </row>
    <row r="45" spans="2:16" ht="15.6" x14ac:dyDescent="0.25">
      <c r="B45" s="45"/>
      <c r="C45" s="46"/>
      <c r="D45" s="67"/>
      <c r="F45" s="45"/>
      <c r="G45" s="46"/>
      <c r="H45" s="67"/>
      <c r="J45" s="47">
        <f>MIN(D40:D43,H40:H43)</f>
        <v>0</v>
      </c>
      <c r="L45" s="48"/>
      <c r="M45" s="49"/>
      <c r="N45" s="50"/>
      <c r="O45" s="29"/>
      <c r="P45" s="85"/>
    </row>
    <row r="46" spans="2:16" ht="16.2" thickBot="1" x14ac:dyDescent="0.3">
      <c r="B46" s="52"/>
      <c r="C46" s="53"/>
      <c r="D46" s="68"/>
      <c r="E46" s="29"/>
      <c r="F46" s="52"/>
      <c r="G46" s="53"/>
      <c r="H46" s="68"/>
      <c r="I46" s="30"/>
      <c r="J46" s="54">
        <f>MAX(D40:D43,H40:H43)</f>
        <v>0</v>
      </c>
      <c r="L46" s="55">
        <f>L45</f>
        <v>0</v>
      </c>
      <c r="M46" s="56">
        <f>M45</f>
        <v>0</v>
      </c>
      <c r="N46" s="57"/>
      <c r="O46" s="29"/>
      <c r="P46" s="89"/>
    </row>
    <row r="47" spans="2:16" ht="15" thickBot="1" x14ac:dyDescent="0.3"/>
    <row r="48" spans="2:16" ht="15.6" x14ac:dyDescent="0.25">
      <c r="B48" s="140" t="s">
        <v>1265</v>
      </c>
      <c r="C48" s="141"/>
      <c r="D48" s="142"/>
      <c r="E48" s="26"/>
      <c r="F48" s="143" t="str">
        <f>B48</f>
        <v>bicycle</v>
      </c>
      <c r="G48" s="141"/>
      <c r="H48" s="142"/>
      <c r="I48" s="26"/>
      <c r="J48" s="27"/>
      <c r="L48" s="144" t="str">
        <f>F48</f>
        <v>bicycle</v>
      </c>
      <c r="M48" s="145"/>
      <c r="N48" s="146"/>
      <c r="O48" s="28"/>
      <c r="P48" s="85"/>
    </row>
    <row r="49" spans="2:16" ht="15.6" x14ac:dyDescent="0.25">
      <c r="B49" s="147" t="s">
        <v>1247</v>
      </c>
      <c r="C49" s="148"/>
      <c r="D49" s="64" t="s">
        <v>1260</v>
      </c>
      <c r="E49" s="29"/>
      <c r="F49" s="147" t="s">
        <v>1247</v>
      </c>
      <c r="G49" s="148"/>
      <c r="H49" s="64" t="s">
        <v>1260</v>
      </c>
      <c r="I49" s="30"/>
      <c r="J49" s="31" t="s">
        <v>1255</v>
      </c>
      <c r="L49" s="149" t="s">
        <v>1256</v>
      </c>
      <c r="M49" s="150"/>
      <c r="N49" s="151"/>
      <c r="O49" s="32"/>
      <c r="P49" s="86"/>
    </row>
    <row r="50" spans="2:16" ht="15.6" x14ac:dyDescent="0.25">
      <c r="B50" s="33" t="s">
        <v>1246</v>
      </c>
      <c r="C50" s="34" t="s">
        <v>1257</v>
      </c>
      <c r="D50" s="65" t="s">
        <v>27</v>
      </c>
      <c r="E50" s="29"/>
      <c r="F50" s="33" t="s">
        <v>1246</v>
      </c>
      <c r="G50" s="34" t="s">
        <v>1257</v>
      </c>
      <c r="H50" s="65" t="s">
        <v>27</v>
      </c>
      <c r="I50" s="30"/>
      <c r="J50" s="35"/>
      <c r="L50" s="70">
        <f>B2</f>
        <v>0</v>
      </c>
      <c r="M50" s="71">
        <f>F2</f>
        <v>0</v>
      </c>
      <c r="N50" s="36" t="s">
        <v>1258</v>
      </c>
      <c r="O50" s="26"/>
      <c r="P50" s="86" t="s">
        <v>1253</v>
      </c>
    </row>
    <row r="51" spans="2:16" ht="15.6" x14ac:dyDescent="0.25">
      <c r="B51" s="37" t="str">
        <f>B48</f>
        <v>bicycle</v>
      </c>
      <c r="C51" s="34" t="s">
        <v>48</v>
      </c>
      <c r="D51" s="66">
        <f>'C1'!G25</f>
        <v>0</v>
      </c>
      <c r="E51" s="29"/>
      <c r="F51" s="37" t="str">
        <f>B48</f>
        <v>bicycle</v>
      </c>
      <c r="G51" s="34" t="s">
        <v>48</v>
      </c>
      <c r="H51" s="66">
        <f>'C1'!AA25</f>
        <v>0</v>
      </c>
      <c r="I51" s="30"/>
      <c r="J51" s="38" t="e">
        <f>H51/D51-1</f>
        <v>#DIV/0!</v>
      </c>
      <c r="L51" s="39">
        <f>'C1'!Q25</f>
        <v>0</v>
      </c>
      <c r="M51" s="39">
        <f>'C1'!AK25</f>
        <v>0</v>
      </c>
      <c r="N51" s="40">
        <f>IFERROR(M51-L51,NA())</f>
        <v>0</v>
      </c>
      <c r="O51" s="29"/>
      <c r="P51" s="87" cm="1">
        <f t="array" ref="P51">bdRateHermite(D51:D55,L51:L55,H51:H55,M51:M55)</f>
        <v>0</v>
      </c>
    </row>
    <row r="52" spans="2:16" ht="15.6" x14ac:dyDescent="0.25">
      <c r="B52" s="37" t="str">
        <f>B48</f>
        <v>bicycle</v>
      </c>
      <c r="C52" s="34" t="s">
        <v>49</v>
      </c>
      <c r="D52" s="66">
        <f>'C1'!G26</f>
        <v>0</v>
      </c>
      <c r="E52" s="29"/>
      <c r="F52" s="37" t="str">
        <f>B48</f>
        <v>bicycle</v>
      </c>
      <c r="G52" s="34" t="s">
        <v>49</v>
      </c>
      <c r="H52" s="66">
        <f>'C1'!AA26</f>
        <v>0</v>
      </c>
      <c r="I52" s="30"/>
      <c r="J52" s="38" t="e">
        <f>H52/D52-1</f>
        <v>#DIV/0!</v>
      </c>
      <c r="L52" s="39">
        <f>'C1'!Q26</f>
        <v>0</v>
      </c>
      <c r="M52" s="39">
        <f>'C1'!AK26</f>
        <v>0</v>
      </c>
      <c r="N52" s="40">
        <f>IFERROR(M52-L52,NA())</f>
        <v>0</v>
      </c>
      <c r="O52" s="29"/>
      <c r="P52" s="86"/>
    </row>
    <row r="53" spans="2:16" ht="15.6" x14ac:dyDescent="0.25">
      <c r="B53" s="37" t="str">
        <f>B48</f>
        <v>bicycle</v>
      </c>
      <c r="C53" s="34" t="s">
        <v>50</v>
      </c>
      <c r="D53" s="66">
        <f>'C1'!G27</f>
        <v>0</v>
      </c>
      <c r="E53" s="29"/>
      <c r="F53" s="37" t="str">
        <f>B48</f>
        <v>bicycle</v>
      </c>
      <c r="G53" s="34" t="s">
        <v>50</v>
      </c>
      <c r="H53" s="66">
        <f>'C1'!AA27</f>
        <v>0</v>
      </c>
      <c r="I53" s="30"/>
      <c r="J53" s="38" t="e">
        <f>H53/D53-1</f>
        <v>#DIV/0!</v>
      </c>
      <c r="L53" s="39">
        <f>'C1'!Q27</f>
        <v>0</v>
      </c>
      <c r="M53" s="39">
        <f>'C1'!AK27</f>
        <v>0</v>
      </c>
      <c r="N53" s="40">
        <f>IFERROR(M53-L53,NA())</f>
        <v>0</v>
      </c>
      <c r="O53" s="29"/>
      <c r="P53" s="86"/>
    </row>
    <row r="54" spans="2:16" ht="15.6" x14ac:dyDescent="0.25">
      <c r="B54" s="37" t="str">
        <f>B48</f>
        <v>bicycle</v>
      </c>
      <c r="C54" s="34" t="s">
        <v>51</v>
      </c>
      <c r="D54" s="66">
        <f>'C1'!G28</f>
        <v>0</v>
      </c>
      <c r="E54" s="29"/>
      <c r="F54" s="37" t="str">
        <f>B48</f>
        <v>bicycle</v>
      </c>
      <c r="G54" s="34" t="s">
        <v>51</v>
      </c>
      <c r="H54" s="66">
        <f>'C1'!AA28</f>
        <v>0</v>
      </c>
      <c r="I54" s="30"/>
      <c r="J54" s="38" t="e">
        <f>H54/D54-1</f>
        <v>#DIV/0!</v>
      </c>
      <c r="L54" s="39">
        <f>'C1'!Q28</f>
        <v>0</v>
      </c>
      <c r="M54" s="39">
        <f>'C1'!AK28</f>
        <v>0</v>
      </c>
      <c r="N54" s="40">
        <f>IFERROR(M54-L54,NA())</f>
        <v>0</v>
      </c>
      <c r="O54" s="29"/>
      <c r="P54" s="86"/>
    </row>
    <row r="55" spans="2:16" ht="16.2" thickBot="1" x14ac:dyDescent="0.3">
      <c r="B55" s="37" t="str">
        <f>B48</f>
        <v>bicycle</v>
      </c>
      <c r="C55" s="34" t="s">
        <v>1259</v>
      </c>
      <c r="D55" s="66">
        <f>'C1'!G29</f>
        <v>0</v>
      </c>
      <c r="E55" s="29"/>
      <c r="F55" s="37" t="str">
        <f>B48</f>
        <v>bicycle</v>
      </c>
      <c r="G55" s="34" t="s">
        <v>1259</v>
      </c>
      <c r="H55" s="66">
        <f>'C1'!AA29</f>
        <v>0</v>
      </c>
      <c r="I55" s="30"/>
      <c r="J55" s="38" t="e">
        <f>H55/D55-1</f>
        <v>#DIV/0!</v>
      </c>
      <c r="L55" s="39">
        <f>'C1'!Q29</f>
        <v>0</v>
      </c>
      <c r="M55" s="39">
        <f>'C1'!AK29</f>
        <v>0</v>
      </c>
      <c r="N55" s="40">
        <f>IFERROR(M55-L55,NA())</f>
        <v>0</v>
      </c>
      <c r="O55" s="29"/>
      <c r="P55" s="88"/>
    </row>
    <row r="56" spans="2:16" ht="15.6" x14ac:dyDescent="0.25">
      <c r="B56" s="45"/>
      <c r="C56" s="46"/>
      <c r="D56" s="67"/>
      <c r="F56" s="45"/>
      <c r="G56" s="46"/>
      <c r="H56" s="67"/>
      <c r="J56" s="47">
        <f>MIN(D51:D54,H51:H54)</f>
        <v>0</v>
      </c>
      <c r="L56" s="48"/>
      <c r="M56" s="49"/>
      <c r="N56" s="50"/>
      <c r="O56" s="29"/>
      <c r="P56" s="85"/>
    </row>
    <row r="57" spans="2:16" ht="16.2" thickBot="1" x14ac:dyDescent="0.3">
      <c r="B57" s="52"/>
      <c r="C57" s="53"/>
      <c r="D57" s="68"/>
      <c r="E57" s="29"/>
      <c r="F57" s="52"/>
      <c r="G57" s="53"/>
      <c r="H57" s="68"/>
      <c r="I57" s="30"/>
      <c r="J57" s="54">
        <f>MAX(D51:D54,H51:H54)</f>
        <v>0</v>
      </c>
      <c r="L57" s="55">
        <f>L56</f>
        <v>0</v>
      </c>
      <c r="M57" s="56">
        <f>M56</f>
        <v>0</v>
      </c>
      <c r="N57" s="57"/>
      <c r="O57" s="29"/>
      <c r="P57" s="89"/>
    </row>
    <row r="58" spans="2:16" ht="15" thickBot="1" x14ac:dyDescent="0.3"/>
    <row r="59" spans="2:16" ht="15.6" x14ac:dyDescent="0.25">
      <c r="B59" s="140" t="s">
        <v>1266</v>
      </c>
      <c r="C59" s="141"/>
      <c r="D59" s="142"/>
      <c r="E59" s="26"/>
      <c r="F59" s="143" t="str">
        <f>B59</f>
        <v>garden</v>
      </c>
      <c r="G59" s="141"/>
      <c r="H59" s="142"/>
      <c r="I59" s="26"/>
      <c r="J59" s="27"/>
      <c r="L59" s="144" t="str">
        <f>F59</f>
        <v>garden</v>
      </c>
      <c r="M59" s="145"/>
      <c r="N59" s="146"/>
      <c r="O59" s="28"/>
      <c r="P59" s="85"/>
    </row>
    <row r="60" spans="2:16" ht="15.6" x14ac:dyDescent="0.25">
      <c r="B60" s="147" t="s">
        <v>1247</v>
      </c>
      <c r="C60" s="148"/>
      <c r="D60" s="64" t="s">
        <v>1260</v>
      </c>
      <c r="E60" s="29"/>
      <c r="F60" s="147" t="s">
        <v>1247</v>
      </c>
      <c r="G60" s="148"/>
      <c r="H60" s="64" t="s">
        <v>1260</v>
      </c>
      <c r="I60" s="30"/>
      <c r="J60" s="31" t="s">
        <v>1255</v>
      </c>
      <c r="L60" s="149" t="s">
        <v>1256</v>
      </c>
      <c r="M60" s="150"/>
      <c r="N60" s="151"/>
      <c r="O60" s="32"/>
      <c r="P60" s="86"/>
    </row>
    <row r="61" spans="2:16" ht="15.6" x14ac:dyDescent="0.25">
      <c r="B61" s="33" t="s">
        <v>1246</v>
      </c>
      <c r="C61" s="34" t="s">
        <v>1257</v>
      </c>
      <c r="D61" s="65" t="s">
        <v>27</v>
      </c>
      <c r="E61" s="29"/>
      <c r="F61" s="33" t="s">
        <v>1246</v>
      </c>
      <c r="G61" s="34" t="s">
        <v>1257</v>
      </c>
      <c r="H61" s="65" t="s">
        <v>27</v>
      </c>
      <c r="I61" s="30"/>
      <c r="J61" s="35"/>
      <c r="L61" s="70">
        <f>B2</f>
        <v>0</v>
      </c>
      <c r="M61" s="71">
        <f>F2</f>
        <v>0</v>
      </c>
      <c r="N61" s="36" t="s">
        <v>1258</v>
      </c>
      <c r="O61" s="26"/>
      <c r="P61" s="86" t="s">
        <v>1253</v>
      </c>
    </row>
    <row r="62" spans="2:16" ht="15.6" x14ac:dyDescent="0.25">
      <c r="B62" s="37" t="str">
        <f>B59</f>
        <v>garden</v>
      </c>
      <c r="C62" s="34" t="s">
        <v>48</v>
      </c>
      <c r="D62" s="66">
        <f>'C1'!G30</f>
        <v>0</v>
      </c>
      <c r="E62" s="29"/>
      <c r="F62" s="37" t="str">
        <f>B59</f>
        <v>garden</v>
      </c>
      <c r="G62" s="34" t="s">
        <v>48</v>
      </c>
      <c r="H62" s="66">
        <f>'C1'!AA30</f>
        <v>0</v>
      </c>
      <c r="I62" s="30"/>
      <c r="J62" s="38" t="e">
        <f>H62/D62-1</f>
        <v>#DIV/0!</v>
      </c>
      <c r="L62" s="39">
        <f>'C1'!Q30</f>
        <v>0</v>
      </c>
      <c r="M62" s="1">
        <f>'C1'!AK30</f>
        <v>0</v>
      </c>
      <c r="N62" s="40">
        <f>IFERROR(M62-L62,NA())</f>
        <v>0</v>
      </c>
      <c r="O62" s="29"/>
      <c r="P62" s="87" cm="1">
        <f t="array" ref="P62">bdRateHermite(D62:D66,L62:L66,H62:H66,M62:M66)</f>
        <v>0</v>
      </c>
    </row>
    <row r="63" spans="2:16" ht="15.6" x14ac:dyDescent="0.25">
      <c r="B63" s="37" t="str">
        <f>B59</f>
        <v>garden</v>
      </c>
      <c r="C63" s="34" t="s">
        <v>49</v>
      </c>
      <c r="D63" s="66">
        <f>'C1'!G31</f>
        <v>0</v>
      </c>
      <c r="E63" s="29"/>
      <c r="F63" s="37" t="str">
        <f>B59</f>
        <v>garden</v>
      </c>
      <c r="G63" s="34" t="s">
        <v>49</v>
      </c>
      <c r="H63" s="66">
        <f>'C1'!AA31</f>
        <v>0</v>
      </c>
      <c r="I63" s="30"/>
      <c r="J63" s="38" t="e">
        <f>H63/D63-1</f>
        <v>#DIV/0!</v>
      </c>
      <c r="L63" s="39">
        <f>'C1'!Q31</f>
        <v>0</v>
      </c>
      <c r="M63" s="1">
        <f>'C1'!AK31</f>
        <v>0</v>
      </c>
      <c r="N63" s="40">
        <f>IFERROR(M63-L63,NA())</f>
        <v>0</v>
      </c>
      <c r="O63" s="29"/>
      <c r="P63" s="86"/>
    </row>
    <row r="64" spans="2:16" ht="15.6" x14ac:dyDescent="0.25">
      <c r="B64" s="37" t="str">
        <f>B59</f>
        <v>garden</v>
      </c>
      <c r="C64" s="34" t="s">
        <v>50</v>
      </c>
      <c r="D64" s="66">
        <f>'C1'!G32</f>
        <v>0</v>
      </c>
      <c r="E64" s="29"/>
      <c r="F64" s="37" t="str">
        <f>B59</f>
        <v>garden</v>
      </c>
      <c r="G64" s="34" t="s">
        <v>50</v>
      </c>
      <c r="H64" s="66">
        <f>'C1'!AA32</f>
        <v>0</v>
      </c>
      <c r="I64" s="30"/>
      <c r="J64" s="38" t="e">
        <f>H64/D64-1</f>
        <v>#DIV/0!</v>
      </c>
      <c r="L64" s="39">
        <f>'C1'!Q32</f>
        <v>0</v>
      </c>
      <c r="M64" s="1">
        <f>'C1'!AK32</f>
        <v>0</v>
      </c>
      <c r="N64" s="40">
        <f>IFERROR(M64-L64,NA())</f>
        <v>0</v>
      </c>
      <c r="O64" s="29"/>
      <c r="P64" s="86"/>
    </row>
    <row r="65" spans="2:16" ht="15.6" x14ac:dyDescent="0.25">
      <c r="B65" s="37" t="str">
        <f>B59</f>
        <v>garden</v>
      </c>
      <c r="C65" s="34" t="s">
        <v>51</v>
      </c>
      <c r="D65" s="66">
        <f>'C1'!G33</f>
        <v>0</v>
      </c>
      <c r="E65" s="29"/>
      <c r="F65" s="37" t="str">
        <f>B59</f>
        <v>garden</v>
      </c>
      <c r="G65" s="34" t="s">
        <v>51</v>
      </c>
      <c r="H65" s="66">
        <f>'C1'!AA33</f>
        <v>0</v>
      </c>
      <c r="I65" s="30"/>
      <c r="J65" s="38" t="e">
        <f>H65/D65-1</f>
        <v>#DIV/0!</v>
      </c>
      <c r="L65" s="39">
        <f>'C1'!Q33</f>
        <v>0</v>
      </c>
      <c r="M65" s="1">
        <f>'C1'!AK33</f>
        <v>0</v>
      </c>
      <c r="N65" s="40">
        <f>IFERROR(M65-L65,NA())</f>
        <v>0</v>
      </c>
      <c r="O65" s="29"/>
      <c r="P65" s="86"/>
    </row>
    <row r="66" spans="2:16" ht="16.2" thickBot="1" x14ac:dyDescent="0.3">
      <c r="B66" s="37" t="str">
        <f>B59</f>
        <v>garden</v>
      </c>
      <c r="C66" s="34" t="s">
        <v>1259</v>
      </c>
      <c r="D66" s="66">
        <f>'C1'!G34</f>
        <v>0</v>
      </c>
      <c r="E66" s="29"/>
      <c r="F66" s="37" t="str">
        <f>B59</f>
        <v>garden</v>
      </c>
      <c r="G66" s="34" t="s">
        <v>1259</v>
      </c>
      <c r="H66" s="66">
        <f>'C1'!AA34</f>
        <v>0</v>
      </c>
      <c r="I66" s="30"/>
      <c r="J66" s="38" t="e">
        <f>H66/D66-1</f>
        <v>#DIV/0!</v>
      </c>
      <c r="L66" s="39">
        <f>'C1'!Q34</f>
        <v>0</v>
      </c>
      <c r="M66" s="1">
        <f>'C1'!AK34</f>
        <v>0</v>
      </c>
      <c r="N66" s="40">
        <f>IFERROR(M66-L66,NA())</f>
        <v>0</v>
      </c>
      <c r="O66" s="29"/>
      <c r="P66" s="88"/>
    </row>
    <row r="67" spans="2:16" ht="15.6" x14ac:dyDescent="0.25">
      <c r="B67" s="45"/>
      <c r="C67" s="46"/>
      <c r="D67" s="67"/>
      <c r="F67" s="45"/>
      <c r="G67" s="46"/>
      <c r="H67" s="67"/>
      <c r="J67" s="47">
        <f>MIN(D62:D65,H62:H65)</f>
        <v>0</v>
      </c>
      <c r="L67" s="48"/>
      <c r="M67" s="49"/>
      <c r="N67" s="50"/>
      <c r="O67" s="29"/>
      <c r="P67" s="85"/>
    </row>
    <row r="68" spans="2:16" ht="16.2" thickBot="1" x14ac:dyDescent="0.3">
      <c r="B68" s="52"/>
      <c r="C68" s="53"/>
      <c r="D68" s="68"/>
      <c r="E68" s="29"/>
      <c r="F68" s="52"/>
      <c r="G68" s="53"/>
      <c r="H68" s="68"/>
      <c r="I68" s="30"/>
      <c r="J68" s="54">
        <f>MAX(D62:D65,H62:H65)</f>
        <v>0</v>
      </c>
      <c r="L68" s="55">
        <f>L67</f>
        <v>0</v>
      </c>
      <c r="M68" s="56">
        <f>M67</f>
        <v>0</v>
      </c>
      <c r="N68" s="57"/>
      <c r="O68" s="29"/>
      <c r="P68" s="89"/>
    </row>
    <row r="69" spans="2:16" ht="15" thickBot="1" x14ac:dyDescent="0.3"/>
    <row r="70" spans="2:16" ht="15.6" x14ac:dyDescent="0.25">
      <c r="B70" s="140" t="s">
        <v>1268</v>
      </c>
      <c r="C70" s="141"/>
      <c r="D70" s="142"/>
      <c r="E70" s="26"/>
      <c r="F70" s="143" t="str">
        <f>B70</f>
        <v>alley</v>
      </c>
      <c r="G70" s="141"/>
      <c r="H70" s="142"/>
      <c r="I70" s="26"/>
      <c r="J70" s="27"/>
      <c r="L70" s="144" t="str">
        <f>F70</f>
        <v>alley</v>
      </c>
      <c r="M70" s="145"/>
      <c r="N70" s="146"/>
      <c r="O70" s="28"/>
      <c r="P70" s="85"/>
    </row>
    <row r="71" spans="2:16" ht="15.6" x14ac:dyDescent="0.25">
      <c r="B71" s="147" t="s">
        <v>1247</v>
      </c>
      <c r="C71" s="148"/>
      <c r="D71" s="64" t="s">
        <v>1260</v>
      </c>
      <c r="E71" s="29"/>
      <c r="F71" s="147" t="s">
        <v>1247</v>
      </c>
      <c r="G71" s="148"/>
      <c r="H71" s="64" t="s">
        <v>1260</v>
      </c>
      <c r="I71" s="30"/>
      <c r="J71" s="31" t="s">
        <v>1255</v>
      </c>
      <c r="L71" s="149" t="s">
        <v>1256</v>
      </c>
      <c r="M71" s="150"/>
      <c r="N71" s="151"/>
      <c r="O71" s="32"/>
      <c r="P71" s="86"/>
    </row>
    <row r="72" spans="2:16" ht="15.6" x14ac:dyDescent="0.25">
      <c r="B72" s="33" t="s">
        <v>1246</v>
      </c>
      <c r="C72" s="34" t="s">
        <v>1257</v>
      </c>
      <c r="D72" s="65" t="s">
        <v>27</v>
      </c>
      <c r="E72" s="29"/>
      <c r="F72" s="33" t="s">
        <v>1246</v>
      </c>
      <c r="G72" s="34" t="s">
        <v>1257</v>
      </c>
      <c r="H72" s="65" t="s">
        <v>27</v>
      </c>
      <c r="I72" s="30"/>
      <c r="J72" s="35"/>
      <c r="L72" s="70">
        <f>B2</f>
        <v>0</v>
      </c>
      <c r="M72" s="71">
        <f>F2</f>
        <v>0</v>
      </c>
      <c r="N72" s="36" t="s">
        <v>1258</v>
      </c>
      <c r="O72" s="26"/>
      <c r="P72" s="86" t="s">
        <v>1253</v>
      </c>
    </row>
    <row r="73" spans="2:16" ht="15.6" x14ac:dyDescent="0.25">
      <c r="B73" s="37" t="str">
        <f>B70</f>
        <v>alley</v>
      </c>
      <c r="C73" s="34" t="s">
        <v>48</v>
      </c>
      <c r="D73" s="66">
        <f>'C1'!G35</f>
        <v>0</v>
      </c>
      <c r="E73" s="29"/>
      <c r="F73" s="37" t="str">
        <f>B70</f>
        <v>alley</v>
      </c>
      <c r="G73" s="34" t="s">
        <v>48</v>
      </c>
      <c r="H73" s="66">
        <f>'C1'!AA35</f>
        <v>0</v>
      </c>
      <c r="I73" s="30"/>
      <c r="J73" s="38" t="e">
        <f>H73/D73-1</f>
        <v>#DIV/0!</v>
      </c>
      <c r="L73" s="39">
        <f>'C1'!Q35</f>
        <v>0</v>
      </c>
      <c r="M73" s="39">
        <f>'C1'!AK35</f>
        <v>0</v>
      </c>
      <c r="N73" s="40">
        <f>IFERROR(M73-L73,NA())</f>
        <v>0</v>
      </c>
      <c r="O73" s="29"/>
      <c r="P73" s="87" cm="1">
        <f t="array" ref="P73">bdRateHermite(D73:D77,L73:L77,H73:H77,M73:M77)</f>
        <v>0</v>
      </c>
    </row>
    <row r="74" spans="2:16" ht="15.6" x14ac:dyDescent="0.25">
      <c r="B74" s="37" t="str">
        <f>B70</f>
        <v>alley</v>
      </c>
      <c r="C74" s="34" t="s">
        <v>49</v>
      </c>
      <c r="D74" s="66">
        <f>'C1'!G36</f>
        <v>0</v>
      </c>
      <c r="E74" s="29"/>
      <c r="F74" s="37" t="str">
        <f>B70</f>
        <v>alley</v>
      </c>
      <c r="G74" s="34" t="s">
        <v>49</v>
      </c>
      <c r="H74" s="66">
        <f>'C1'!AA36</f>
        <v>0</v>
      </c>
      <c r="I74" s="30"/>
      <c r="J74" s="38" t="e">
        <f>H74/D74-1</f>
        <v>#DIV/0!</v>
      </c>
      <c r="L74" s="39">
        <f>'C1'!Q36</f>
        <v>0</v>
      </c>
      <c r="M74" s="39">
        <f>'C1'!AK36</f>
        <v>0</v>
      </c>
      <c r="N74" s="40">
        <f>IFERROR(M74-L74,NA())</f>
        <v>0</v>
      </c>
      <c r="O74" s="29"/>
      <c r="P74" s="86"/>
    </row>
    <row r="75" spans="2:16" ht="15.6" x14ac:dyDescent="0.25">
      <c r="B75" s="37" t="str">
        <f>B70</f>
        <v>alley</v>
      </c>
      <c r="C75" s="34" t="s">
        <v>50</v>
      </c>
      <c r="D75" s="66">
        <f>'C1'!G37</f>
        <v>0</v>
      </c>
      <c r="E75" s="29"/>
      <c r="F75" s="37" t="str">
        <f>B70</f>
        <v>alley</v>
      </c>
      <c r="G75" s="34" t="s">
        <v>50</v>
      </c>
      <c r="H75" s="66">
        <f>'C1'!AA37</f>
        <v>0</v>
      </c>
      <c r="I75" s="30"/>
      <c r="J75" s="38" t="e">
        <f>H75/D75-1</f>
        <v>#DIV/0!</v>
      </c>
      <c r="L75" s="39">
        <f>'C1'!Q37</f>
        <v>0</v>
      </c>
      <c r="M75" s="39">
        <f>'C1'!AK37</f>
        <v>0</v>
      </c>
      <c r="N75" s="40">
        <f>IFERROR(M75-L75,NA())</f>
        <v>0</v>
      </c>
      <c r="O75" s="29"/>
      <c r="P75" s="86"/>
    </row>
    <row r="76" spans="2:16" ht="15.6" x14ac:dyDescent="0.25">
      <c r="B76" s="37" t="str">
        <f>B70</f>
        <v>alley</v>
      </c>
      <c r="C76" s="34" t="s">
        <v>51</v>
      </c>
      <c r="D76" s="66">
        <f>'C1'!G38</f>
        <v>0</v>
      </c>
      <c r="E76" s="29"/>
      <c r="F76" s="37" t="str">
        <f>B70</f>
        <v>alley</v>
      </c>
      <c r="G76" s="34" t="s">
        <v>51</v>
      </c>
      <c r="H76" s="66">
        <f>'C1'!AA38</f>
        <v>0</v>
      </c>
      <c r="I76" s="30"/>
      <c r="J76" s="38" t="e">
        <f>H76/D76-1</f>
        <v>#DIV/0!</v>
      </c>
      <c r="L76" s="39">
        <f>'C1'!Q38</f>
        <v>0</v>
      </c>
      <c r="M76" s="39">
        <f>'C1'!AK38</f>
        <v>0</v>
      </c>
      <c r="N76" s="40">
        <f>IFERROR(M76-L76,NA())</f>
        <v>0</v>
      </c>
      <c r="O76" s="29"/>
      <c r="P76" s="86"/>
    </row>
    <row r="77" spans="2:16" ht="16.2" thickBot="1" x14ac:dyDescent="0.3">
      <c r="B77" s="37" t="str">
        <f>B70</f>
        <v>alley</v>
      </c>
      <c r="C77" s="34" t="s">
        <v>1259</v>
      </c>
      <c r="D77" s="66">
        <f>'C1'!G39</f>
        <v>0</v>
      </c>
      <c r="E77" s="29"/>
      <c r="F77" s="37" t="str">
        <f>B70</f>
        <v>alley</v>
      </c>
      <c r="G77" s="34" t="s">
        <v>1259</v>
      </c>
      <c r="H77" s="66">
        <f>'C1'!AA39</f>
        <v>0</v>
      </c>
      <c r="I77" s="30"/>
      <c r="J77" s="38" t="e">
        <f>H77/D77-1</f>
        <v>#DIV/0!</v>
      </c>
      <c r="L77" s="39">
        <f>'C1'!Q39</f>
        <v>0</v>
      </c>
      <c r="M77" s="39">
        <f>'C1'!AK39</f>
        <v>0</v>
      </c>
      <c r="N77" s="40">
        <f>IFERROR(M77-L77,NA())</f>
        <v>0</v>
      </c>
      <c r="O77" s="29"/>
      <c r="P77" s="88"/>
    </row>
    <row r="78" spans="2:16" ht="15.6" x14ac:dyDescent="0.25">
      <c r="B78" s="45"/>
      <c r="C78" s="46"/>
      <c r="D78" s="67"/>
      <c r="F78" s="45"/>
      <c r="G78" s="46"/>
      <c r="H78" s="67"/>
      <c r="J78" s="47">
        <f>MIN(D73:D76,H73:H76)</f>
        <v>0</v>
      </c>
      <c r="L78" s="48"/>
      <c r="M78" s="49"/>
      <c r="N78" s="50"/>
      <c r="O78" s="29"/>
      <c r="P78" s="85"/>
    </row>
    <row r="79" spans="2:16" ht="16.2" thickBot="1" x14ac:dyDescent="0.3">
      <c r="B79" s="52"/>
      <c r="C79" s="53"/>
      <c r="D79" s="68"/>
      <c r="E79" s="29"/>
      <c r="F79" s="52"/>
      <c r="G79" s="53"/>
      <c r="H79" s="68"/>
      <c r="I79" s="30"/>
      <c r="J79" s="54">
        <f>MAX(D73:D76,H73:H76)</f>
        <v>0</v>
      </c>
      <c r="L79" s="55">
        <f>L78</f>
        <v>0</v>
      </c>
      <c r="M79" s="56">
        <f>M78</f>
        <v>0</v>
      </c>
      <c r="N79" s="57"/>
      <c r="O79" s="29"/>
      <c r="P79" s="89"/>
    </row>
    <row r="80" spans="2:16" ht="15" thickBot="1" x14ac:dyDescent="0.3"/>
    <row r="81" spans="2:16" ht="15.6" x14ac:dyDescent="0.25">
      <c r="B81" s="140" t="s">
        <v>1267</v>
      </c>
      <c r="C81" s="141"/>
      <c r="D81" s="142"/>
      <c r="E81" s="26"/>
      <c r="F81" s="143" t="str">
        <f>B81</f>
        <v>rocket</v>
      </c>
      <c r="G81" s="141"/>
      <c r="H81" s="142"/>
      <c r="I81" s="26"/>
      <c r="J81" s="27"/>
      <c r="L81" s="144" t="str">
        <f>F81</f>
        <v>rocket</v>
      </c>
      <c r="M81" s="145"/>
      <c r="N81" s="146"/>
      <c r="O81" s="28"/>
      <c r="P81" s="85"/>
    </row>
    <row r="82" spans="2:16" ht="15.6" x14ac:dyDescent="0.25">
      <c r="B82" s="147" t="s">
        <v>1247</v>
      </c>
      <c r="C82" s="148"/>
      <c r="D82" s="64" t="s">
        <v>1260</v>
      </c>
      <c r="E82" s="29"/>
      <c r="F82" s="147" t="s">
        <v>1247</v>
      </c>
      <c r="G82" s="148"/>
      <c r="H82" s="64" t="s">
        <v>1260</v>
      </c>
      <c r="I82" s="30"/>
      <c r="J82" s="31" t="s">
        <v>1255</v>
      </c>
      <c r="L82" s="149" t="s">
        <v>1256</v>
      </c>
      <c r="M82" s="150"/>
      <c r="N82" s="151"/>
      <c r="O82" s="32"/>
      <c r="P82" s="86"/>
    </row>
    <row r="83" spans="2:16" ht="15.6" x14ac:dyDescent="0.25">
      <c r="B83" s="33" t="s">
        <v>1246</v>
      </c>
      <c r="C83" s="34" t="s">
        <v>1257</v>
      </c>
      <c r="D83" s="65" t="s">
        <v>27</v>
      </c>
      <c r="E83" s="29"/>
      <c r="F83" s="33" t="s">
        <v>1246</v>
      </c>
      <c r="G83" s="34" t="s">
        <v>1257</v>
      </c>
      <c r="H83" s="65" t="s">
        <v>27</v>
      </c>
      <c r="I83" s="30"/>
      <c r="J83" s="35"/>
      <c r="L83" s="70">
        <f>B2</f>
        <v>0</v>
      </c>
      <c r="M83" s="71">
        <f>F2</f>
        <v>0</v>
      </c>
      <c r="N83" s="36" t="s">
        <v>1258</v>
      </c>
      <c r="O83" s="26"/>
      <c r="P83" s="86" t="s">
        <v>1253</v>
      </c>
    </row>
    <row r="84" spans="2:16" ht="15.6" x14ac:dyDescent="0.25">
      <c r="B84" s="37" t="str">
        <f>B81</f>
        <v>rocket</v>
      </c>
      <c r="C84" s="34" t="s">
        <v>48</v>
      </c>
      <c r="D84" s="66">
        <f>'C1'!G40</f>
        <v>0</v>
      </c>
      <c r="E84" s="29"/>
      <c r="F84" s="37" t="str">
        <f>B81</f>
        <v>rocket</v>
      </c>
      <c r="G84" s="34" t="s">
        <v>48</v>
      </c>
      <c r="H84" s="66">
        <f>'C1'!AA40</f>
        <v>0</v>
      </c>
      <c r="I84" s="30"/>
      <c r="J84" s="38" t="e">
        <f>H84/D84-1</f>
        <v>#DIV/0!</v>
      </c>
      <c r="L84" s="39">
        <f>'C1'!Q40</f>
        <v>0</v>
      </c>
      <c r="M84" s="1">
        <f>'C1'!AK40</f>
        <v>0</v>
      </c>
      <c r="N84" s="40">
        <f>IFERROR(M84-L84,NA())</f>
        <v>0</v>
      </c>
      <c r="O84" s="29"/>
      <c r="P84" s="87" cm="1">
        <f t="array" ref="P84">bdRateHermite(D84:D88,L84:L88,H84:H88,M84:M88)</f>
        <v>0</v>
      </c>
    </row>
    <row r="85" spans="2:16" ht="15.6" x14ac:dyDescent="0.25">
      <c r="B85" s="37" t="str">
        <f>B81</f>
        <v>rocket</v>
      </c>
      <c r="C85" s="34" t="s">
        <v>49</v>
      </c>
      <c r="D85" s="66">
        <f>'C1'!G41</f>
        <v>0</v>
      </c>
      <c r="E85" s="29"/>
      <c r="F85" s="37" t="str">
        <f>B81</f>
        <v>rocket</v>
      </c>
      <c r="G85" s="34" t="s">
        <v>49</v>
      </c>
      <c r="H85" s="66">
        <f>'C1'!AA41</f>
        <v>0</v>
      </c>
      <c r="I85" s="30"/>
      <c r="J85" s="38" t="e">
        <f>H85/D85-1</f>
        <v>#DIV/0!</v>
      </c>
      <c r="L85" s="39">
        <f>'C1'!Q41</f>
        <v>0</v>
      </c>
      <c r="M85" s="1">
        <f>'C1'!AK41</f>
        <v>0</v>
      </c>
      <c r="N85" s="40">
        <f>IFERROR(M85-L85,NA())</f>
        <v>0</v>
      </c>
      <c r="O85" s="29"/>
      <c r="P85" s="86"/>
    </row>
    <row r="86" spans="2:16" ht="15.6" x14ac:dyDescent="0.25">
      <c r="B86" s="37" t="str">
        <f>B81</f>
        <v>rocket</v>
      </c>
      <c r="C86" s="34" t="s">
        <v>50</v>
      </c>
      <c r="D86" s="66">
        <f>'C1'!G42</f>
        <v>0</v>
      </c>
      <c r="E86" s="29"/>
      <c r="F86" s="37" t="str">
        <f>B81</f>
        <v>rocket</v>
      </c>
      <c r="G86" s="34" t="s">
        <v>50</v>
      </c>
      <c r="H86" s="66">
        <f>'C1'!AA42</f>
        <v>0</v>
      </c>
      <c r="I86" s="30"/>
      <c r="J86" s="38" t="e">
        <f>H86/D86-1</f>
        <v>#DIV/0!</v>
      </c>
      <c r="L86" s="39">
        <f>'C1'!Q42</f>
        <v>0</v>
      </c>
      <c r="M86" s="1">
        <f>'C1'!AK42</f>
        <v>0</v>
      </c>
      <c r="N86" s="40">
        <f>IFERROR(M86-L86,NA())</f>
        <v>0</v>
      </c>
      <c r="O86" s="29"/>
      <c r="P86" s="86"/>
    </row>
    <row r="87" spans="2:16" ht="15.6" x14ac:dyDescent="0.25">
      <c r="B87" s="37" t="str">
        <f>B81</f>
        <v>rocket</v>
      </c>
      <c r="C87" s="34" t="s">
        <v>51</v>
      </c>
      <c r="D87" s="66">
        <f>'C1'!G43</f>
        <v>0</v>
      </c>
      <c r="E87" s="29"/>
      <c r="F87" s="37" t="str">
        <f>B81</f>
        <v>rocket</v>
      </c>
      <c r="G87" s="34" t="s">
        <v>51</v>
      </c>
      <c r="H87" s="66">
        <f>'C1'!AA43</f>
        <v>0</v>
      </c>
      <c r="I87" s="30"/>
      <c r="J87" s="38" t="e">
        <f>H87/D87-1</f>
        <v>#DIV/0!</v>
      </c>
      <c r="L87" s="39">
        <f>'C1'!Q43</f>
        <v>0</v>
      </c>
      <c r="M87" s="1">
        <f>'C1'!AK43</f>
        <v>0</v>
      </c>
      <c r="N87" s="40">
        <f>IFERROR(M87-L87,NA())</f>
        <v>0</v>
      </c>
      <c r="O87" s="29"/>
      <c r="P87" s="86"/>
    </row>
    <row r="88" spans="2:16" ht="16.2" thickBot="1" x14ac:dyDescent="0.3">
      <c r="B88" s="37" t="str">
        <f>B81</f>
        <v>rocket</v>
      </c>
      <c r="C88" s="34" t="s">
        <v>1259</v>
      </c>
      <c r="D88" s="66">
        <f>'C1'!G44</f>
        <v>0</v>
      </c>
      <c r="E88" s="29"/>
      <c r="F88" s="37" t="str">
        <f>B81</f>
        <v>rocket</v>
      </c>
      <c r="G88" s="34" t="s">
        <v>1259</v>
      </c>
      <c r="H88" s="66">
        <f>'C1'!AA44</f>
        <v>0</v>
      </c>
      <c r="I88" s="30"/>
      <c r="J88" s="38" t="e">
        <f>H88/D88-1</f>
        <v>#DIV/0!</v>
      </c>
      <c r="L88" s="39">
        <f>'C1'!Q44</f>
        <v>0</v>
      </c>
      <c r="M88" s="1">
        <f>'C1'!AK44</f>
        <v>0</v>
      </c>
      <c r="N88" s="40">
        <f>IFERROR(M88-L88,NA())</f>
        <v>0</v>
      </c>
      <c r="O88" s="29"/>
      <c r="P88" s="88"/>
    </row>
    <row r="89" spans="2:16" ht="15.6" x14ac:dyDescent="0.25">
      <c r="B89" s="45"/>
      <c r="C89" s="46"/>
      <c r="D89" s="67"/>
      <c r="F89" s="45"/>
      <c r="G89" s="46"/>
      <c r="H89" s="67"/>
      <c r="J89" s="47">
        <f>MIN(D84:D87,H84:H87)</f>
        <v>0</v>
      </c>
      <c r="L89" s="48"/>
      <c r="M89" s="49"/>
      <c r="N89" s="50"/>
      <c r="O89" s="29"/>
      <c r="P89" s="85"/>
    </row>
    <row r="90" spans="2:16" ht="16.2" thickBot="1" x14ac:dyDescent="0.3">
      <c r="B90" s="52"/>
      <c r="C90" s="53"/>
      <c r="D90" s="68"/>
      <c r="E90" s="29"/>
      <c r="F90" s="52"/>
      <c r="G90" s="53"/>
      <c r="H90" s="68"/>
      <c r="I90" s="30"/>
      <c r="J90" s="54">
        <f>MAX(D84:D87,H84:H87)</f>
        <v>0</v>
      </c>
      <c r="L90" s="55">
        <f>L89</f>
        <v>0</v>
      </c>
      <c r="M90" s="56">
        <f>M89</f>
        <v>0</v>
      </c>
      <c r="N90" s="57"/>
      <c r="O90" s="29"/>
      <c r="P90" s="89"/>
    </row>
  </sheetData>
  <mergeCells count="52">
    <mergeCell ref="B5:C5"/>
    <mergeCell ref="F5:G5"/>
    <mergeCell ref="L5:N5"/>
    <mergeCell ref="R5:T5"/>
    <mergeCell ref="B2:D2"/>
    <mergeCell ref="F2:H2"/>
    <mergeCell ref="L2:N2"/>
    <mergeCell ref="B4:D4"/>
    <mergeCell ref="F4:H4"/>
    <mergeCell ref="L4:N4"/>
    <mergeCell ref="B15:D15"/>
    <mergeCell ref="F15:H15"/>
    <mergeCell ref="L15:N15"/>
    <mergeCell ref="B16:C16"/>
    <mergeCell ref="F16:G16"/>
    <mergeCell ref="L16:N16"/>
    <mergeCell ref="B26:D26"/>
    <mergeCell ref="F26:H26"/>
    <mergeCell ref="L26:N26"/>
    <mergeCell ref="B27:C27"/>
    <mergeCell ref="F27:G27"/>
    <mergeCell ref="L27:N27"/>
    <mergeCell ref="B37:D37"/>
    <mergeCell ref="F37:H37"/>
    <mergeCell ref="L37:N37"/>
    <mergeCell ref="B38:C38"/>
    <mergeCell ref="F38:G38"/>
    <mergeCell ref="L38:N38"/>
    <mergeCell ref="B48:D48"/>
    <mergeCell ref="F48:H48"/>
    <mergeCell ref="L48:N48"/>
    <mergeCell ref="B49:C49"/>
    <mergeCell ref="F49:G49"/>
    <mergeCell ref="L49:N49"/>
    <mergeCell ref="B59:D59"/>
    <mergeCell ref="F59:H59"/>
    <mergeCell ref="L59:N59"/>
    <mergeCell ref="B60:C60"/>
    <mergeCell ref="F60:G60"/>
    <mergeCell ref="L60:N60"/>
    <mergeCell ref="B70:D70"/>
    <mergeCell ref="F70:H70"/>
    <mergeCell ref="L70:N70"/>
    <mergeCell ref="B71:C71"/>
    <mergeCell ref="F71:G71"/>
    <mergeCell ref="L71:N71"/>
    <mergeCell ref="B81:D81"/>
    <mergeCell ref="F81:H81"/>
    <mergeCell ref="L81:N81"/>
    <mergeCell ref="B82:C82"/>
    <mergeCell ref="F82:G82"/>
    <mergeCell ref="L82:N82"/>
  </mergeCells>
  <phoneticPr fontId="5" type="noConversion"/>
  <conditionalFormatting sqref="U8:U11">
    <cfRule type="dataBar" priority="231">
      <dataBar>
        <cfvo type="min"/>
        <cfvo type="max"/>
        <color rgb="FF008AEF"/>
      </dataBar>
    </cfRule>
  </conditionalFormatting>
  <conditionalFormatting sqref="Z12:Z14">
    <cfRule type="cellIs" dxfId="181" priority="228" stopIfTrue="1" operator="lessThan">
      <formula>-0.01</formula>
    </cfRule>
    <cfRule type="cellIs" dxfId="180" priority="229" stopIfTrue="1" operator="greaterThan">
      <formula>0.01</formula>
    </cfRule>
  </conditionalFormatting>
  <conditionalFormatting sqref="I13:I14">
    <cfRule type="dataBar" priority="227">
      <dataBar>
        <cfvo type="min"/>
        <cfvo type="max"/>
        <color rgb="FF008AEF"/>
      </dataBar>
    </cfRule>
  </conditionalFormatting>
  <conditionalFormatting sqref="R12:T14">
    <cfRule type="dataBar" priority="226">
      <dataBar>
        <cfvo type="min"/>
        <cfvo type="max"/>
        <color rgb="FF008AEF"/>
      </dataBar>
    </cfRule>
  </conditionalFormatting>
  <conditionalFormatting sqref="U12:U14">
    <cfRule type="dataBar" priority="230">
      <dataBar>
        <cfvo type="min"/>
        <cfvo type="max"/>
        <color rgb="FF008AEF"/>
      </dataBar>
    </cfRule>
  </conditionalFormatting>
  <conditionalFormatting sqref="AB7 J7:J11 J18:J22 J29:J33 J40:J44">
    <cfRule type="cellIs" dxfId="179" priority="223" operator="greaterThan">
      <formula>0.03</formula>
    </cfRule>
    <cfRule type="cellIs" dxfId="178" priority="224" stopIfTrue="1" operator="lessThan">
      <formula>-0.03</formula>
    </cfRule>
  </conditionalFormatting>
  <conditionalFormatting sqref="AB11">
    <cfRule type="cellIs" dxfId="177" priority="221" operator="lessThan">
      <formula>-0.03</formula>
    </cfRule>
    <cfRule type="cellIs" dxfId="176" priority="222" stopIfTrue="1" operator="greaterThan">
      <formula>0.03</formula>
    </cfRule>
  </conditionalFormatting>
  <conditionalFormatting sqref="Z7">
    <cfRule type="cellIs" dxfId="175" priority="219" stopIfTrue="1" operator="lessThan">
      <formula>-0.01</formula>
    </cfRule>
    <cfRule type="cellIs" dxfId="174" priority="220" stopIfTrue="1" operator="greaterThan">
      <formula>0.01</formula>
    </cfRule>
  </conditionalFormatting>
  <conditionalFormatting sqref="Z8">
    <cfRule type="cellIs" dxfId="173" priority="217" stopIfTrue="1" operator="lessThan">
      <formula>-0.01</formula>
    </cfRule>
    <cfRule type="cellIs" dxfId="172" priority="218" stopIfTrue="1" operator="greaterThan">
      <formula>0.01</formula>
    </cfRule>
  </conditionalFormatting>
  <conditionalFormatting sqref="Z9:Z10">
    <cfRule type="cellIs" dxfId="171" priority="215" stopIfTrue="1" operator="lessThan">
      <formula>-0.01</formula>
    </cfRule>
    <cfRule type="cellIs" dxfId="170" priority="216" stopIfTrue="1" operator="greaterThan">
      <formula>0.01</formula>
    </cfRule>
  </conditionalFormatting>
  <conditionalFormatting sqref="Z11">
    <cfRule type="cellIs" dxfId="169" priority="213" stopIfTrue="1" operator="lessThan">
      <formula>-0.01</formula>
    </cfRule>
    <cfRule type="cellIs" dxfId="168" priority="214" stopIfTrue="1" operator="greaterThan">
      <formula>0.01</formula>
    </cfRule>
  </conditionalFormatting>
  <conditionalFormatting sqref="V7:V11">
    <cfRule type="cellIs" dxfId="167" priority="211" operator="greaterThan">
      <formula>0.03</formula>
    </cfRule>
    <cfRule type="cellIs" dxfId="166" priority="212" stopIfTrue="1" operator="lessThan">
      <formula>-0.03</formula>
    </cfRule>
  </conditionalFormatting>
  <conditionalFormatting sqref="R8:T8">
    <cfRule type="dataBar" priority="210">
      <dataBar>
        <cfvo type="min"/>
        <cfvo type="max"/>
        <color rgb="FF008AEF"/>
      </dataBar>
    </cfRule>
  </conditionalFormatting>
  <conditionalFormatting sqref="R9:T10">
    <cfRule type="dataBar" priority="209">
      <dataBar>
        <cfvo type="min"/>
        <cfvo type="max"/>
        <color rgb="FF008AEF"/>
      </dataBar>
    </cfRule>
  </conditionalFormatting>
  <conditionalFormatting sqref="R11:T11">
    <cfRule type="dataBar" priority="208">
      <dataBar>
        <cfvo type="min"/>
        <cfvo type="max"/>
        <color rgb="FF008AEF"/>
      </dataBar>
    </cfRule>
  </conditionalFormatting>
  <conditionalFormatting sqref="R7:U7">
    <cfRule type="dataBar" priority="225">
      <dataBar>
        <cfvo type="min"/>
        <cfvo type="max"/>
        <color rgb="FF008AEF"/>
      </dataBar>
    </cfRule>
  </conditionalFormatting>
  <conditionalFormatting sqref="I5">
    <cfRule type="dataBar" priority="207">
      <dataBar>
        <cfvo type="min"/>
        <cfvo type="max"/>
        <color rgb="FF008AEF"/>
      </dataBar>
    </cfRule>
  </conditionalFormatting>
  <conditionalFormatting sqref="I6">
    <cfRule type="dataBar" priority="206">
      <dataBar>
        <cfvo type="min"/>
        <cfvo type="max"/>
        <color rgb="FF008AEF"/>
      </dataBar>
    </cfRule>
  </conditionalFormatting>
  <conditionalFormatting sqref="N13:N14">
    <cfRule type="cellIs" dxfId="165" priority="204" stopIfTrue="1" operator="lessThan">
      <formula>-0.01</formula>
    </cfRule>
    <cfRule type="cellIs" dxfId="164" priority="205" stopIfTrue="1" operator="greaterThan">
      <formula>0.01</formula>
    </cfRule>
  </conditionalFormatting>
  <conditionalFormatting sqref="I12">
    <cfRule type="dataBar" priority="203">
      <dataBar>
        <cfvo type="min"/>
        <cfvo type="max"/>
        <color rgb="FF008AEF"/>
      </dataBar>
    </cfRule>
  </conditionalFormatting>
  <conditionalFormatting sqref="I7">
    <cfRule type="dataBar" priority="202">
      <dataBar>
        <cfvo type="min"/>
        <cfvo type="max"/>
        <color rgb="FF008AEF"/>
      </dataBar>
    </cfRule>
  </conditionalFormatting>
  <conditionalFormatting sqref="I8">
    <cfRule type="dataBar" priority="201">
      <dataBar>
        <cfvo type="min"/>
        <cfvo type="max"/>
        <color rgb="FF008AEF"/>
      </dataBar>
    </cfRule>
  </conditionalFormatting>
  <conditionalFormatting sqref="I9:I10">
    <cfRule type="dataBar" priority="200">
      <dataBar>
        <cfvo type="min"/>
        <cfvo type="max"/>
        <color rgb="FF008AEF"/>
      </dataBar>
    </cfRule>
  </conditionalFormatting>
  <conditionalFormatting sqref="I11">
    <cfRule type="dataBar" priority="199">
      <dataBar>
        <cfvo type="min"/>
        <cfvo type="max"/>
        <color rgb="FF008AEF"/>
      </dataBar>
    </cfRule>
  </conditionalFormatting>
  <conditionalFormatting sqref="I9:I11">
    <cfRule type="dataBar" priority="198">
      <dataBar>
        <cfvo type="min"/>
        <cfvo type="max"/>
        <color rgb="FF008AEF"/>
      </dataBar>
    </cfRule>
  </conditionalFormatting>
  <conditionalFormatting sqref="I7">
    <cfRule type="dataBar" priority="197">
      <dataBar>
        <cfvo type="min"/>
        <cfvo type="max"/>
        <color rgb="FF008AEF"/>
      </dataBar>
    </cfRule>
  </conditionalFormatting>
  <conditionalFormatting sqref="I8">
    <cfRule type="dataBar" priority="196">
      <dataBar>
        <cfvo type="min"/>
        <cfvo type="max"/>
        <color rgb="FF008AEF"/>
      </dataBar>
    </cfRule>
  </conditionalFormatting>
  <conditionalFormatting sqref="N12">
    <cfRule type="cellIs" dxfId="163" priority="194" stopIfTrue="1" operator="lessThan">
      <formula>-0.01</formula>
    </cfRule>
    <cfRule type="cellIs" dxfId="162" priority="195" stopIfTrue="1" operator="greaterThan">
      <formula>0.01</formula>
    </cfRule>
  </conditionalFormatting>
  <conditionalFormatting sqref="N10">
    <cfRule type="cellIs" dxfId="161" priority="190" stopIfTrue="1" operator="lessThan">
      <formula>-0.01</formula>
    </cfRule>
    <cfRule type="cellIs" dxfId="160" priority="191" stopIfTrue="1" operator="greaterThan">
      <formula>0.01</formula>
    </cfRule>
  </conditionalFormatting>
  <conditionalFormatting sqref="N7 N11">
    <cfRule type="cellIs" dxfId="159" priority="188" stopIfTrue="1" operator="lessThan">
      <formula>-0.01</formula>
    </cfRule>
    <cfRule type="cellIs" dxfId="158" priority="189" stopIfTrue="1" operator="greaterThan">
      <formula>0.01</formula>
    </cfRule>
  </conditionalFormatting>
  <conditionalFormatting sqref="N8:N9">
    <cfRule type="cellIs" dxfId="157" priority="186" stopIfTrue="1" operator="lessThan">
      <formula>-0.01</formula>
    </cfRule>
    <cfRule type="cellIs" dxfId="156" priority="187" stopIfTrue="1" operator="greaterThan">
      <formula>0.01</formula>
    </cfRule>
  </conditionalFormatting>
  <conditionalFormatting sqref="P7">
    <cfRule type="cellIs" dxfId="155" priority="184" operator="greaterThan">
      <formula>0.03</formula>
    </cfRule>
    <cfRule type="cellIs" dxfId="154" priority="185" stopIfTrue="1" operator="lessThan">
      <formula>-0.03</formula>
    </cfRule>
  </conditionalFormatting>
  <conditionalFormatting sqref="P11">
    <cfRule type="cellIs" dxfId="153" priority="182" operator="lessThan">
      <formula>-0.03</formula>
    </cfRule>
    <cfRule type="cellIs" dxfId="152" priority="183" stopIfTrue="1" operator="greaterThan">
      <formula>0.03</formula>
    </cfRule>
  </conditionalFormatting>
  <conditionalFormatting sqref="I24">
    <cfRule type="dataBar" priority="181">
      <dataBar>
        <cfvo type="min"/>
        <cfvo type="max"/>
        <color rgb="FF008AEF"/>
      </dataBar>
    </cfRule>
  </conditionalFormatting>
  <conditionalFormatting sqref="I16">
    <cfRule type="dataBar" priority="180">
      <dataBar>
        <cfvo type="min"/>
        <cfvo type="max"/>
        <color rgb="FF008AEF"/>
      </dataBar>
    </cfRule>
  </conditionalFormatting>
  <conditionalFormatting sqref="I17">
    <cfRule type="dataBar" priority="179">
      <dataBar>
        <cfvo type="min"/>
        <cfvo type="max"/>
        <color rgb="FF008AEF"/>
      </dataBar>
    </cfRule>
  </conditionalFormatting>
  <conditionalFormatting sqref="N24">
    <cfRule type="cellIs" dxfId="151" priority="177" stopIfTrue="1" operator="lessThan">
      <formula>-0.01</formula>
    </cfRule>
    <cfRule type="cellIs" dxfId="150" priority="178" stopIfTrue="1" operator="greaterThan">
      <formula>0.01</formula>
    </cfRule>
  </conditionalFormatting>
  <conditionalFormatting sqref="I23">
    <cfRule type="dataBar" priority="176">
      <dataBar>
        <cfvo type="min"/>
        <cfvo type="max"/>
        <color rgb="FF008AEF"/>
      </dataBar>
    </cfRule>
  </conditionalFormatting>
  <conditionalFormatting sqref="I18">
    <cfRule type="dataBar" priority="175">
      <dataBar>
        <cfvo type="min"/>
        <cfvo type="max"/>
        <color rgb="FF008AEF"/>
      </dataBar>
    </cfRule>
  </conditionalFormatting>
  <conditionalFormatting sqref="I19">
    <cfRule type="dataBar" priority="174">
      <dataBar>
        <cfvo type="min"/>
        <cfvo type="max"/>
        <color rgb="FF008AEF"/>
      </dataBar>
    </cfRule>
  </conditionalFormatting>
  <conditionalFormatting sqref="I20:I21">
    <cfRule type="dataBar" priority="173">
      <dataBar>
        <cfvo type="min"/>
        <cfvo type="max"/>
        <color rgb="FF008AEF"/>
      </dataBar>
    </cfRule>
  </conditionalFormatting>
  <conditionalFormatting sqref="I22">
    <cfRule type="dataBar" priority="172">
      <dataBar>
        <cfvo type="min"/>
        <cfvo type="max"/>
        <color rgb="FF008AEF"/>
      </dataBar>
    </cfRule>
  </conditionalFormatting>
  <conditionalFormatting sqref="I20:I22">
    <cfRule type="dataBar" priority="171">
      <dataBar>
        <cfvo type="min"/>
        <cfvo type="max"/>
        <color rgb="FF008AEF"/>
      </dataBar>
    </cfRule>
  </conditionalFormatting>
  <conditionalFormatting sqref="I18">
    <cfRule type="dataBar" priority="170">
      <dataBar>
        <cfvo type="min"/>
        <cfvo type="max"/>
        <color rgb="FF008AEF"/>
      </dataBar>
    </cfRule>
  </conditionalFormatting>
  <conditionalFormatting sqref="I19">
    <cfRule type="dataBar" priority="169">
      <dataBar>
        <cfvo type="min"/>
        <cfvo type="max"/>
        <color rgb="FF008AEF"/>
      </dataBar>
    </cfRule>
  </conditionalFormatting>
  <conditionalFormatting sqref="N23">
    <cfRule type="cellIs" dxfId="149" priority="167" stopIfTrue="1" operator="lessThan">
      <formula>-0.01</formula>
    </cfRule>
    <cfRule type="cellIs" dxfId="148" priority="168" stopIfTrue="1" operator="greaterThan">
      <formula>0.01</formula>
    </cfRule>
  </conditionalFormatting>
  <conditionalFormatting sqref="N21">
    <cfRule type="cellIs" dxfId="147" priority="163" stopIfTrue="1" operator="lessThan">
      <formula>-0.01</formula>
    </cfRule>
    <cfRule type="cellIs" dxfId="146" priority="164" stopIfTrue="1" operator="greaterThan">
      <formula>0.01</formula>
    </cfRule>
  </conditionalFormatting>
  <conditionalFormatting sqref="N18 N22">
    <cfRule type="cellIs" dxfId="145" priority="161" stopIfTrue="1" operator="lessThan">
      <formula>-0.01</formula>
    </cfRule>
    <cfRule type="cellIs" dxfId="144" priority="162" stopIfTrue="1" operator="greaterThan">
      <formula>0.01</formula>
    </cfRule>
  </conditionalFormatting>
  <conditionalFormatting sqref="N19:N20">
    <cfRule type="cellIs" dxfId="143" priority="159" stopIfTrue="1" operator="lessThan">
      <formula>-0.01</formula>
    </cfRule>
    <cfRule type="cellIs" dxfId="142" priority="160" stopIfTrue="1" operator="greaterThan">
      <formula>0.01</formula>
    </cfRule>
  </conditionalFormatting>
  <conditionalFormatting sqref="P18">
    <cfRule type="cellIs" dxfId="141" priority="157" operator="greaterThan">
      <formula>0.03</formula>
    </cfRule>
    <cfRule type="cellIs" dxfId="140" priority="158" stopIfTrue="1" operator="lessThan">
      <formula>-0.03</formula>
    </cfRule>
  </conditionalFormatting>
  <conditionalFormatting sqref="P22">
    <cfRule type="cellIs" dxfId="139" priority="155" operator="lessThan">
      <formula>-0.03</formula>
    </cfRule>
    <cfRule type="cellIs" dxfId="138" priority="156" stopIfTrue="1" operator="greaterThan">
      <formula>0.03</formula>
    </cfRule>
  </conditionalFormatting>
  <conditionalFormatting sqref="I35">
    <cfRule type="dataBar" priority="154">
      <dataBar>
        <cfvo type="min"/>
        <cfvo type="max"/>
        <color rgb="FF008AEF"/>
      </dataBar>
    </cfRule>
  </conditionalFormatting>
  <conditionalFormatting sqref="I27">
    <cfRule type="dataBar" priority="153">
      <dataBar>
        <cfvo type="min"/>
        <cfvo type="max"/>
        <color rgb="FF008AEF"/>
      </dataBar>
    </cfRule>
  </conditionalFormatting>
  <conditionalFormatting sqref="I28">
    <cfRule type="dataBar" priority="152">
      <dataBar>
        <cfvo type="min"/>
        <cfvo type="max"/>
        <color rgb="FF008AEF"/>
      </dataBar>
    </cfRule>
  </conditionalFormatting>
  <conditionalFormatting sqref="N35">
    <cfRule type="cellIs" dxfId="137" priority="150" stopIfTrue="1" operator="lessThan">
      <formula>-0.01</formula>
    </cfRule>
    <cfRule type="cellIs" dxfId="136" priority="151" stopIfTrue="1" operator="greaterThan">
      <formula>0.01</formula>
    </cfRule>
  </conditionalFormatting>
  <conditionalFormatting sqref="I34">
    <cfRule type="dataBar" priority="149">
      <dataBar>
        <cfvo type="min"/>
        <cfvo type="max"/>
        <color rgb="FF008AEF"/>
      </dataBar>
    </cfRule>
  </conditionalFormatting>
  <conditionalFormatting sqref="I33 I29">
    <cfRule type="dataBar" priority="147">
      <dataBar>
        <cfvo type="min"/>
        <cfvo type="max"/>
        <color rgb="FF008AEF"/>
      </dataBar>
    </cfRule>
  </conditionalFormatting>
  <conditionalFormatting sqref="I30:I31">
    <cfRule type="dataBar" priority="146">
      <dataBar>
        <cfvo type="min"/>
        <cfvo type="max"/>
        <color rgb="FF008AEF"/>
      </dataBar>
    </cfRule>
  </conditionalFormatting>
  <conditionalFormatting sqref="I32">
    <cfRule type="dataBar" priority="145">
      <dataBar>
        <cfvo type="min"/>
        <cfvo type="max"/>
        <color rgb="FF008AEF"/>
      </dataBar>
    </cfRule>
  </conditionalFormatting>
  <conditionalFormatting sqref="I30:I32">
    <cfRule type="dataBar" priority="144">
      <dataBar>
        <cfvo type="min"/>
        <cfvo type="max"/>
        <color rgb="FF008AEF"/>
      </dataBar>
    </cfRule>
  </conditionalFormatting>
  <conditionalFormatting sqref="I29 I33">
    <cfRule type="dataBar" priority="142">
      <dataBar>
        <cfvo type="min"/>
        <cfvo type="max"/>
        <color rgb="FF008AEF"/>
      </dataBar>
    </cfRule>
  </conditionalFormatting>
  <conditionalFormatting sqref="N34">
    <cfRule type="cellIs" dxfId="135" priority="140" stopIfTrue="1" operator="lessThan">
      <formula>-0.01</formula>
    </cfRule>
    <cfRule type="cellIs" dxfId="134" priority="141" stopIfTrue="1" operator="greaterThan">
      <formula>0.01</formula>
    </cfRule>
  </conditionalFormatting>
  <conditionalFormatting sqref="N32">
    <cfRule type="cellIs" dxfId="133" priority="136" stopIfTrue="1" operator="lessThan">
      <formula>-0.01</formula>
    </cfRule>
    <cfRule type="cellIs" dxfId="132" priority="137" stopIfTrue="1" operator="greaterThan">
      <formula>0.01</formula>
    </cfRule>
  </conditionalFormatting>
  <conditionalFormatting sqref="N29 N33">
    <cfRule type="cellIs" dxfId="131" priority="134" stopIfTrue="1" operator="lessThan">
      <formula>-0.01</formula>
    </cfRule>
    <cfRule type="cellIs" dxfId="130" priority="135" stopIfTrue="1" operator="greaterThan">
      <formula>0.01</formula>
    </cfRule>
  </conditionalFormatting>
  <conditionalFormatting sqref="N30:N31">
    <cfRule type="cellIs" dxfId="129" priority="132" stopIfTrue="1" operator="lessThan">
      <formula>-0.01</formula>
    </cfRule>
    <cfRule type="cellIs" dxfId="128" priority="133" stopIfTrue="1" operator="greaterThan">
      <formula>0.01</formula>
    </cfRule>
  </conditionalFormatting>
  <conditionalFormatting sqref="P29">
    <cfRule type="cellIs" dxfId="127" priority="130" operator="greaterThan">
      <formula>0.03</formula>
    </cfRule>
    <cfRule type="cellIs" dxfId="126" priority="131" stopIfTrue="1" operator="lessThan">
      <formula>-0.03</formula>
    </cfRule>
  </conditionalFormatting>
  <conditionalFormatting sqref="P33">
    <cfRule type="cellIs" dxfId="125" priority="128" operator="lessThan">
      <formula>-0.03</formula>
    </cfRule>
    <cfRule type="cellIs" dxfId="124" priority="129" stopIfTrue="1" operator="greaterThan">
      <formula>0.03</formula>
    </cfRule>
  </conditionalFormatting>
  <conditionalFormatting sqref="I46">
    <cfRule type="dataBar" priority="127">
      <dataBar>
        <cfvo type="min"/>
        <cfvo type="max"/>
        <color rgb="FF008AEF"/>
      </dataBar>
    </cfRule>
  </conditionalFormatting>
  <conditionalFormatting sqref="I38">
    <cfRule type="dataBar" priority="126">
      <dataBar>
        <cfvo type="min"/>
        <cfvo type="max"/>
        <color rgb="FF008AEF"/>
      </dataBar>
    </cfRule>
  </conditionalFormatting>
  <conditionalFormatting sqref="I39">
    <cfRule type="dataBar" priority="125">
      <dataBar>
        <cfvo type="min"/>
        <cfvo type="max"/>
        <color rgb="FF008AEF"/>
      </dataBar>
    </cfRule>
  </conditionalFormatting>
  <conditionalFormatting sqref="N46">
    <cfRule type="cellIs" dxfId="123" priority="123" stopIfTrue="1" operator="lessThan">
      <formula>-0.01</formula>
    </cfRule>
    <cfRule type="cellIs" dxfId="122" priority="124" stopIfTrue="1" operator="greaterThan">
      <formula>0.01</formula>
    </cfRule>
  </conditionalFormatting>
  <conditionalFormatting sqref="I45">
    <cfRule type="dataBar" priority="122">
      <dataBar>
        <cfvo type="min"/>
        <cfvo type="max"/>
        <color rgb="FF008AEF"/>
      </dataBar>
    </cfRule>
  </conditionalFormatting>
  <conditionalFormatting sqref="I44 I40">
    <cfRule type="dataBar" priority="120">
      <dataBar>
        <cfvo type="min"/>
        <cfvo type="max"/>
        <color rgb="FF008AEF"/>
      </dataBar>
    </cfRule>
  </conditionalFormatting>
  <conditionalFormatting sqref="I41:I42">
    <cfRule type="dataBar" priority="119">
      <dataBar>
        <cfvo type="min"/>
        <cfvo type="max"/>
        <color rgb="FF008AEF"/>
      </dataBar>
    </cfRule>
  </conditionalFormatting>
  <conditionalFormatting sqref="I43">
    <cfRule type="dataBar" priority="118">
      <dataBar>
        <cfvo type="min"/>
        <cfvo type="max"/>
        <color rgb="FF008AEF"/>
      </dataBar>
    </cfRule>
  </conditionalFormatting>
  <conditionalFormatting sqref="I41:I43">
    <cfRule type="dataBar" priority="117">
      <dataBar>
        <cfvo type="min"/>
        <cfvo type="max"/>
        <color rgb="FF008AEF"/>
      </dataBar>
    </cfRule>
  </conditionalFormatting>
  <conditionalFormatting sqref="I44 I40">
    <cfRule type="dataBar" priority="115">
      <dataBar>
        <cfvo type="min"/>
        <cfvo type="max"/>
        <color rgb="FF008AEF"/>
      </dataBar>
    </cfRule>
  </conditionalFormatting>
  <conditionalFormatting sqref="N45">
    <cfRule type="cellIs" dxfId="121" priority="113" stopIfTrue="1" operator="lessThan">
      <formula>-0.01</formula>
    </cfRule>
    <cfRule type="cellIs" dxfId="120" priority="114" stopIfTrue="1" operator="greaterThan">
      <formula>0.01</formula>
    </cfRule>
  </conditionalFormatting>
  <conditionalFormatting sqref="N43">
    <cfRule type="cellIs" dxfId="119" priority="109" stopIfTrue="1" operator="lessThan">
      <formula>-0.01</formula>
    </cfRule>
    <cfRule type="cellIs" dxfId="118" priority="110" stopIfTrue="1" operator="greaterThan">
      <formula>0.01</formula>
    </cfRule>
  </conditionalFormatting>
  <conditionalFormatting sqref="N40 N44">
    <cfRule type="cellIs" dxfId="117" priority="107" stopIfTrue="1" operator="lessThan">
      <formula>-0.01</formula>
    </cfRule>
    <cfRule type="cellIs" dxfId="116" priority="108" stopIfTrue="1" operator="greaterThan">
      <formula>0.01</formula>
    </cfRule>
  </conditionalFormatting>
  <conditionalFormatting sqref="N41:N42">
    <cfRule type="cellIs" dxfId="115" priority="105" stopIfTrue="1" operator="lessThan">
      <formula>-0.01</formula>
    </cfRule>
    <cfRule type="cellIs" dxfId="114" priority="106" stopIfTrue="1" operator="greaterThan">
      <formula>0.01</formula>
    </cfRule>
  </conditionalFormatting>
  <conditionalFormatting sqref="P40">
    <cfRule type="cellIs" dxfId="113" priority="103" operator="greaterThan">
      <formula>0.03</formula>
    </cfRule>
    <cfRule type="cellIs" dxfId="112" priority="104" stopIfTrue="1" operator="lessThan">
      <formula>-0.03</formula>
    </cfRule>
  </conditionalFormatting>
  <conditionalFormatting sqref="P44">
    <cfRule type="cellIs" dxfId="111" priority="101" operator="lessThan">
      <formula>-0.03</formula>
    </cfRule>
    <cfRule type="cellIs" dxfId="110" priority="102" stopIfTrue="1" operator="greaterThan">
      <formula>0.03</formula>
    </cfRule>
  </conditionalFormatting>
  <conditionalFormatting sqref="J51:J55">
    <cfRule type="cellIs" dxfId="109" priority="99" operator="greaterThan">
      <formula>0.03</formula>
    </cfRule>
    <cfRule type="cellIs" dxfId="108" priority="100" stopIfTrue="1" operator="lessThan">
      <formula>-0.03</formula>
    </cfRule>
  </conditionalFormatting>
  <conditionalFormatting sqref="I57">
    <cfRule type="dataBar" priority="98">
      <dataBar>
        <cfvo type="min"/>
        <cfvo type="max"/>
        <color rgb="FF008AEF"/>
      </dataBar>
    </cfRule>
  </conditionalFormatting>
  <conditionalFormatting sqref="I49">
    <cfRule type="dataBar" priority="97">
      <dataBar>
        <cfvo type="min"/>
        <cfvo type="max"/>
        <color rgb="FF008AEF"/>
      </dataBar>
    </cfRule>
  </conditionalFormatting>
  <conditionalFormatting sqref="I50">
    <cfRule type="dataBar" priority="96">
      <dataBar>
        <cfvo type="min"/>
        <cfvo type="max"/>
        <color rgb="FF008AEF"/>
      </dataBar>
    </cfRule>
  </conditionalFormatting>
  <conditionalFormatting sqref="N57">
    <cfRule type="cellIs" dxfId="107" priority="94" stopIfTrue="1" operator="lessThan">
      <formula>-0.01</formula>
    </cfRule>
    <cfRule type="cellIs" dxfId="106" priority="95" stopIfTrue="1" operator="greaterThan">
      <formula>0.01</formula>
    </cfRule>
  </conditionalFormatting>
  <conditionalFormatting sqref="I56">
    <cfRule type="dataBar" priority="93">
      <dataBar>
        <cfvo type="min"/>
        <cfvo type="max"/>
        <color rgb="FF008AEF"/>
      </dataBar>
    </cfRule>
  </conditionalFormatting>
  <conditionalFormatting sqref="I55 I51">
    <cfRule type="dataBar" priority="92">
      <dataBar>
        <cfvo type="min"/>
        <cfvo type="max"/>
        <color rgb="FF008AEF"/>
      </dataBar>
    </cfRule>
  </conditionalFormatting>
  <conditionalFormatting sqref="I52:I53">
    <cfRule type="dataBar" priority="91">
      <dataBar>
        <cfvo type="min"/>
        <cfvo type="max"/>
        <color rgb="FF008AEF"/>
      </dataBar>
    </cfRule>
  </conditionalFormatting>
  <conditionalFormatting sqref="I54">
    <cfRule type="dataBar" priority="90">
      <dataBar>
        <cfvo type="min"/>
        <cfvo type="max"/>
        <color rgb="FF008AEF"/>
      </dataBar>
    </cfRule>
  </conditionalFormatting>
  <conditionalFormatting sqref="I52:I54">
    <cfRule type="dataBar" priority="89">
      <dataBar>
        <cfvo type="min"/>
        <cfvo type="max"/>
        <color rgb="FF008AEF"/>
      </dataBar>
    </cfRule>
  </conditionalFormatting>
  <conditionalFormatting sqref="I55 I51">
    <cfRule type="dataBar" priority="88">
      <dataBar>
        <cfvo type="min"/>
        <cfvo type="max"/>
        <color rgb="FF008AEF"/>
      </dataBar>
    </cfRule>
  </conditionalFormatting>
  <conditionalFormatting sqref="N56">
    <cfRule type="cellIs" dxfId="105" priority="86" stopIfTrue="1" operator="lessThan">
      <formula>-0.01</formula>
    </cfRule>
    <cfRule type="cellIs" dxfId="104" priority="87" stopIfTrue="1" operator="greaterThan">
      <formula>0.01</formula>
    </cfRule>
  </conditionalFormatting>
  <conditionalFormatting sqref="N54">
    <cfRule type="cellIs" dxfId="103" priority="84" stopIfTrue="1" operator="lessThan">
      <formula>-0.01</formula>
    </cfRule>
    <cfRule type="cellIs" dxfId="102" priority="85" stopIfTrue="1" operator="greaterThan">
      <formula>0.01</formula>
    </cfRule>
  </conditionalFormatting>
  <conditionalFormatting sqref="N51 N55">
    <cfRule type="cellIs" dxfId="101" priority="82" stopIfTrue="1" operator="lessThan">
      <formula>-0.01</formula>
    </cfRule>
    <cfRule type="cellIs" dxfId="100" priority="83" stopIfTrue="1" operator="greaterThan">
      <formula>0.01</formula>
    </cfRule>
  </conditionalFormatting>
  <conditionalFormatting sqref="N52:N53">
    <cfRule type="cellIs" dxfId="99" priority="80" stopIfTrue="1" operator="lessThan">
      <formula>-0.01</formula>
    </cfRule>
    <cfRule type="cellIs" dxfId="98" priority="81" stopIfTrue="1" operator="greaterThan">
      <formula>0.01</formula>
    </cfRule>
  </conditionalFormatting>
  <conditionalFormatting sqref="P51">
    <cfRule type="cellIs" dxfId="97" priority="78" operator="greaterThan">
      <formula>0.03</formula>
    </cfRule>
    <cfRule type="cellIs" dxfId="96" priority="79" stopIfTrue="1" operator="lessThan">
      <formula>-0.03</formula>
    </cfRule>
  </conditionalFormatting>
  <conditionalFormatting sqref="P55">
    <cfRule type="cellIs" dxfId="95" priority="76" operator="lessThan">
      <formula>-0.03</formula>
    </cfRule>
    <cfRule type="cellIs" dxfId="94" priority="77" stopIfTrue="1" operator="greaterThan">
      <formula>0.03</formula>
    </cfRule>
  </conditionalFormatting>
  <conditionalFormatting sqref="J62:J66">
    <cfRule type="cellIs" dxfId="93" priority="74" operator="greaterThan">
      <formula>0.03</formula>
    </cfRule>
    <cfRule type="cellIs" dxfId="92" priority="75" stopIfTrue="1" operator="lessThan">
      <formula>-0.03</formula>
    </cfRule>
  </conditionalFormatting>
  <conditionalFormatting sqref="I68">
    <cfRule type="dataBar" priority="73">
      <dataBar>
        <cfvo type="min"/>
        <cfvo type="max"/>
        <color rgb="FF008AEF"/>
      </dataBar>
    </cfRule>
  </conditionalFormatting>
  <conditionalFormatting sqref="I60">
    <cfRule type="dataBar" priority="72">
      <dataBar>
        <cfvo type="min"/>
        <cfvo type="max"/>
        <color rgb="FF008AEF"/>
      </dataBar>
    </cfRule>
  </conditionalFormatting>
  <conditionalFormatting sqref="I61">
    <cfRule type="dataBar" priority="71">
      <dataBar>
        <cfvo type="min"/>
        <cfvo type="max"/>
        <color rgb="FF008AEF"/>
      </dataBar>
    </cfRule>
  </conditionalFormatting>
  <conditionalFormatting sqref="N68">
    <cfRule type="cellIs" dxfId="91" priority="69" stopIfTrue="1" operator="lessThan">
      <formula>-0.01</formula>
    </cfRule>
    <cfRule type="cellIs" dxfId="90" priority="70" stopIfTrue="1" operator="greaterThan">
      <formula>0.01</formula>
    </cfRule>
  </conditionalFormatting>
  <conditionalFormatting sqref="I67">
    <cfRule type="dataBar" priority="68">
      <dataBar>
        <cfvo type="min"/>
        <cfvo type="max"/>
        <color rgb="FF008AEF"/>
      </dataBar>
    </cfRule>
  </conditionalFormatting>
  <conditionalFormatting sqref="I66 I62">
    <cfRule type="dataBar" priority="67">
      <dataBar>
        <cfvo type="min"/>
        <cfvo type="max"/>
        <color rgb="FF008AEF"/>
      </dataBar>
    </cfRule>
  </conditionalFormatting>
  <conditionalFormatting sqref="I63:I64">
    <cfRule type="dataBar" priority="66">
      <dataBar>
        <cfvo type="min"/>
        <cfvo type="max"/>
        <color rgb="FF008AEF"/>
      </dataBar>
    </cfRule>
  </conditionalFormatting>
  <conditionalFormatting sqref="I65">
    <cfRule type="dataBar" priority="65">
      <dataBar>
        <cfvo type="min"/>
        <cfvo type="max"/>
        <color rgb="FF008AEF"/>
      </dataBar>
    </cfRule>
  </conditionalFormatting>
  <conditionalFormatting sqref="I63:I65">
    <cfRule type="dataBar" priority="64">
      <dataBar>
        <cfvo type="min"/>
        <cfvo type="max"/>
        <color rgb="FF008AEF"/>
      </dataBar>
    </cfRule>
  </conditionalFormatting>
  <conditionalFormatting sqref="I66 I62">
    <cfRule type="dataBar" priority="63">
      <dataBar>
        <cfvo type="min"/>
        <cfvo type="max"/>
        <color rgb="FF008AEF"/>
      </dataBar>
    </cfRule>
  </conditionalFormatting>
  <conditionalFormatting sqref="N67">
    <cfRule type="cellIs" dxfId="89" priority="61" stopIfTrue="1" operator="lessThan">
      <formula>-0.01</formula>
    </cfRule>
    <cfRule type="cellIs" dxfId="88" priority="62" stopIfTrue="1" operator="greaterThan">
      <formula>0.01</formula>
    </cfRule>
  </conditionalFormatting>
  <conditionalFormatting sqref="N65">
    <cfRule type="cellIs" dxfId="87" priority="59" stopIfTrue="1" operator="lessThan">
      <formula>-0.01</formula>
    </cfRule>
    <cfRule type="cellIs" dxfId="86" priority="60" stopIfTrue="1" operator="greaterThan">
      <formula>0.01</formula>
    </cfRule>
  </conditionalFormatting>
  <conditionalFormatting sqref="N62 N66">
    <cfRule type="cellIs" dxfId="85" priority="57" stopIfTrue="1" operator="lessThan">
      <formula>-0.01</formula>
    </cfRule>
    <cfRule type="cellIs" dxfId="84" priority="58" stopIfTrue="1" operator="greaterThan">
      <formula>0.01</formula>
    </cfRule>
  </conditionalFormatting>
  <conditionalFormatting sqref="N63:N64">
    <cfRule type="cellIs" dxfId="83" priority="55" stopIfTrue="1" operator="lessThan">
      <formula>-0.01</formula>
    </cfRule>
    <cfRule type="cellIs" dxfId="82" priority="56" stopIfTrue="1" operator="greaterThan">
      <formula>0.01</formula>
    </cfRule>
  </conditionalFormatting>
  <conditionalFormatting sqref="P62">
    <cfRule type="cellIs" dxfId="81" priority="53" operator="greaterThan">
      <formula>0.03</formula>
    </cfRule>
    <cfRule type="cellIs" dxfId="80" priority="54" stopIfTrue="1" operator="lessThan">
      <formula>-0.03</formula>
    </cfRule>
  </conditionalFormatting>
  <conditionalFormatting sqref="P66">
    <cfRule type="cellIs" dxfId="79" priority="51" operator="lessThan">
      <formula>-0.03</formula>
    </cfRule>
    <cfRule type="cellIs" dxfId="78" priority="52" stopIfTrue="1" operator="greaterThan">
      <formula>0.03</formula>
    </cfRule>
  </conditionalFormatting>
  <conditionalFormatting sqref="J73:J77">
    <cfRule type="cellIs" dxfId="77" priority="49" operator="greaterThan">
      <formula>0.03</formula>
    </cfRule>
    <cfRule type="cellIs" dxfId="76" priority="50" stopIfTrue="1" operator="lessThan">
      <formula>-0.03</formula>
    </cfRule>
  </conditionalFormatting>
  <conditionalFormatting sqref="I79">
    <cfRule type="dataBar" priority="48">
      <dataBar>
        <cfvo type="min"/>
        <cfvo type="max"/>
        <color rgb="FF008AEF"/>
      </dataBar>
    </cfRule>
  </conditionalFormatting>
  <conditionalFormatting sqref="I71">
    <cfRule type="dataBar" priority="47">
      <dataBar>
        <cfvo type="min"/>
        <cfvo type="max"/>
        <color rgb="FF008AEF"/>
      </dataBar>
    </cfRule>
  </conditionalFormatting>
  <conditionalFormatting sqref="I72">
    <cfRule type="dataBar" priority="46">
      <dataBar>
        <cfvo type="min"/>
        <cfvo type="max"/>
        <color rgb="FF008AEF"/>
      </dataBar>
    </cfRule>
  </conditionalFormatting>
  <conditionalFormatting sqref="N79">
    <cfRule type="cellIs" dxfId="75" priority="44" stopIfTrue="1" operator="lessThan">
      <formula>-0.01</formula>
    </cfRule>
    <cfRule type="cellIs" dxfId="74" priority="45" stopIfTrue="1" operator="greaterThan">
      <formula>0.01</formula>
    </cfRule>
  </conditionalFormatting>
  <conditionalFormatting sqref="I78">
    <cfRule type="dataBar" priority="43">
      <dataBar>
        <cfvo type="min"/>
        <cfvo type="max"/>
        <color rgb="FF008AEF"/>
      </dataBar>
    </cfRule>
  </conditionalFormatting>
  <conditionalFormatting sqref="I77 I73">
    <cfRule type="dataBar" priority="42">
      <dataBar>
        <cfvo type="min"/>
        <cfvo type="max"/>
        <color rgb="FF008AEF"/>
      </dataBar>
    </cfRule>
  </conditionalFormatting>
  <conditionalFormatting sqref="I74:I75">
    <cfRule type="dataBar" priority="41">
      <dataBar>
        <cfvo type="min"/>
        <cfvo type="max"/>
        <color rgb="FF008AEF"/>
      </dataBar>
    </cfRule>
  </conditionalFormatting>
  <conditionalFormatting sqref="I76">
    <cfRule type="dataBar" priority="40">
      <dataBar>
        <cfvo type="min"/>
        <cfvo type="max"/>
        <color rgb="FF008AEF"/>
      </dataBar>
    </cfRule>
  </conditionalFormatting>
  <conditionalFormatting sqref="I74:I76">
    <cfRule type="dataBar" priority="39">
      <dataBar>
        <cfvo type="min"/>
        <cfvo type="max"/>
        <color rgb="FF008AEF"/>
      </dataBar>
    </cfRule>
  </conditionalFormatting>
  <conditionalFormatting sqref="I77 I73">
    <cfRule type="dataBar" priority="38">
      <dataBar>
        <cfvo type="min"/>
        <cfvo type="max"/>
        <color rgb="FF008AEF"/>
      </dataBar>
    </cfRule>
  </conditionalFormatting>
  <conditionalFormatting sqref="N78">
    <cfRule type="cellIs" dxfId="73" priority="36" stopIfTrue="1" operator="lessThan">
      <formula>-0.01</formula>
    </cfRule>
    <cfRule type="cellIs" dxfId="72" priority="37" stopIfTrue="1" operator="greaterThan">
      <formula>0.01</formula>
    </cfRule>
  </conditionalFormatting>
  <conditionalFormatting sqref="N76">
    <cfRule type="cellIs" dxfId="71" priority="34" stopIfTrue="1" operator="lessThan">
      <formula>-0.01</formula>
    </cfRule>
    <cfRule type="cellIs" dxfId="70" priority="35" stopIfTrue="1" operator="greaterThan">
      <formula>0.01</formula>
    </cfRule>
  </conditionalFormatting>
  <conditionalFormatting sqref="N73 N77">
    <cfRule type="cellIs" dxfId="69" priority="32" stopIfTrue="1" operator="lessThan">
      <formula>-0.01</formula>
    </cfRule>
    <cfRule type="cellIs" dxfId="68" priority="33" stopIfTrue="1" operator="greaterThan">
      <formula>0.01</formula>
    </cfRule>
  </conditionalFormatting>
  <conditionalFormatting sqref="N74:N75">
    <cfRule type="cellIs" dxfId="67" priority="30" stopIfTrue="1" operator="lessThan">
      <formula>-0.01</formula>
    </cfRule>
    <cfRule type="cellIs" dxfId="66" priority="31" stopIfTrue="1" operator="greaterThan">
      <formula>0.01</formula>
    </cfRule>
  </conditionalFormatting>
  <conditionalFormatting sqref="P73">
    <cfRule type="cellIs" dxfId="65" priority="28" operator="greaterThan">
      <formula>0.03</formula>
    </cfRule>
    <cfRule type="cellIs" dxfId="64" priority="29" stopIfTrue="1" operator="lessThan">
      <formula>-0.03</formula>
    </cfRule>
  </conditionalFormatting>
  <conditionalFormatting sqref="P77">
    <cfRule type="cellIs" dxfId="63" priority="26" operator="lessThan">
      <formula>-0.03</formula>
    </cfRule>
    <cfRule type="cellIs" dxfId="62" priority="27" stopIfTrue="1" operator="greaterThan">
      <formula>0.03</formula>
    </cfRule>
  </conditionalFormatting>
  <conditionalFormatting sqref="J84:J88">
    <cfRule type="cellIs" dxfId="61" priority="24" operator="greaterThan">
      <formula>0.03</formula>
    </cfRule>
    <cfRule type="cellIs" dxfId="60" priority="25" stopIfTrue="1" operator="lessThan">
      <formula>-0.03</formula>
    </cfRule>
  </conditionalFormatting>
  <conditionalFormatting sqref="I90">
    <cfRule type="dataBar" priority="23">
      <dataBar>
        <cfvo type="min"/>
        <cfvo type="max"/>
        <color rgb="FF008AEF"/>
      </dataBar>
    </cfRule>
  </conditionalFormatting>
  <conditionalFormatting sqref="I82">
    <cfRule type="dataBar" priority="22">
      <dataBar>
        <cfvo type="min"/>
        <cfvo type="max"/>
        <color rgb="FF008AEF"/>
      </dataBar>
    </cfRule>
  </conditionalFormatting>
  <conditionalFormatting sqref="I83">
    <cfRule type="dataBar" priority="21">
      <dataBar>
        <cfvo type="min"/>
        <cfvo type="max"/>
        <color rgb="FF008AEF"/>
      </dataBar>
    </cfRule>
  </conditionalFormatting>
  <conditionalFormatting sqref="N90">
    <cfRule type="cellIs" dxfId="59" priority="19" stopIfTrue="1" operator="lessThan">
      <formula>-0.01</formula>
    </cfRule>
    <cfRule type="cellIs" dxfId="58" priority="20" stopIfTrue="1" operator="greaterThan">
      <formula>0.01</formula>
    </cfRule>
  </conditionalFormatting>
  <conditionalFormatting sqref="I89">
    <cfRule type="dataBar" priority="18">
      <dataBar>
        <cfvo type="min"/>
        <cfvo type="max"/>
        <color rgb="FF008AEF"/>
      </dataBar>
    </cfRule>
  </conditionalFormatting>
  <conditionalFormatting sqref="I88 I84">
    <cfRule type="dataBar" priority="17">
      <dataBar>
        <cfvo type="min"/>
        <cfvo type="max"/>
        <color rgb="FF008AEF"/>
      </dataBar>
    </cfRule>
  </conditionalFormatting>
  <conditionalFormatting sqref="I85:I86">
    <cfRule type="dataBar" priority="16">
      <dataBar>
        <cfvo type="min"/>
        <cfvo type="max"/>
        <color rgb="FF008AEF"/>
      </dataBar>
    </cfRule>
  </conditionalFormatting>
  <conditionalFormatting sqref="I87">
    <cfRule type="dataBar" priority="15">
      <dataBar>
        <cfvo type="min"/>
        <cfvo type="max"/>
        <color rgb="FF008AEF"/>
      </dataBar>
    </cfRule>
  </conditionalFormatting>
  <conditionalFormatting sqref="I85:I87">
    <cfRule type="dataBar" priority="14">
      <dataBar>
        <cfvo type="min"/>
        <cfvo type="max"/>
        <color rgb="FF008AEF"/>
      </dataBar>
    </cfRule>
  </conditionalFormatting>
  <conditionalFormatting sqref="I88 I84">
    <cfRule type="dataBar" priority="13">
      <dataBar>
        <cfvo type="min"/>
        <cfvo type="max"/>
        <color rgb="FF008AEF"/>
      </dataBar>
    </cfRule>
  </conditionalFormatting>
  <conditionalFormatting sqref="N89">
    <cfRule type="cellIs" dxfId="57" priority="11" stopIfTrue="1" operator="lessThan">
      <formula>-0.01</formula>
    </cfRule>
    <cfRule type="cellIs" dxfId="56" priority="12" stopIfTrue="1" operator="greaterThan">
      <formula>0.01</formula>
    </cfRule>
  </conditionalFormatting>
  <conditionalFormatting sqref="N87">
    <cfRule type="cellIs" dxfId="55" priority="9" stopIfTrue="1" operator="lessThan">
      <formula>-0.01</formula>
    </cfRule>
    <cfRule type="cellIs" dxfId="54" priority="10" stopIfTrue="1" operator="greaterThan">
      <formula>0.01</formula>
    </cfRule>
  </conditionalFormatting>
  <conditionalFormatting sqref="N84 N88">
    <cfRule type="cellIs" dxfId="53" priority="7" stopIfTrue="1" operator="lessThan">
      <formula>-0.01</formula>
    </cfRule>
    <cfRule type="cellIs" dxfId="52" priority="8" stopIfTrue="1" operator="greaterThan">
      <formula>0.01</formula>
    </cfRule>
  </conditionalFormatting>
  <conditionalFormatting sqref="N85:N86">
    <cfRule type="cellIs" dxfId="51" priority="5" stopIfTrue="1" operator="lessThan">
      <formula>-0.01</formula>
    </cfRule>
    <cfRule type="cellIs" dxfId="50" priority="6" stopIfTrue="1" operator="greaterThan">
      <formula>0.01</formula>
    </cfRule>
  </conditionalFormatting>
  <conditionalFormatting sqref="P84">
    <cfRule type="cellIs" dxfId="49" priority="3" operator="greaterThan">
      <formula>0.03</formula>
    </cfRule>
    <cfRule type="cellIs" dxfId="48" priority="4" stopIfTrue="1" operator="lessThan">
      <formula>-0.03</formula>
    </cfRule>
  </conditionalFormatting>
  <conditionalFormatting sqref="P88">
    <cfRule type="cellIs" dxfId="47" priority="1" operator="lessThan">
      <formula>-0.03</formula>
    </cfRule>
    <cfRule type="cellIs" dxfId="46" priority="2" stopIfTrue="1" operator="greaterThan">
      <formula>0.03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outlinePr summaryBelow="0"/>
  </sheetPr>
  <dimension ref="A1:AV44"/>
  <sheetViews>
    <sheetView zoomScale="115" zoomScaleNormal="115" workbookViewId="0">
      <selection activeCell="F5" sqref="F5:AS44"/>
    </sheetView>
  </sheetViews>
  <sheetFormatPr defaultColWidth="8.77734375" defaultRowHeight="14.4" outlineLevelRow="1" x14ac:dyDescent="0.25"/>
  <cols>
    <col min="1" max="2" width="8.77734375" customWidth="1"/>
    <col min="3" max="3" width="8.6640625" style="81" customWidth="1"/>
    <col min="4" max="5" width="8.77734375" customWidth="1"/>
    <col min="6" max="6" width="14.109375" style="81" bestFit="1" customWidth="1"/>
    <col min="7" max="7" width="13" style="81" bestFit="1" customWidth="1"/>
    <col min="8" max="8" width="10.33203125" style="81" bestFit="1" customWidth="1"/>
    <col min="9" max="9" width="12.77734375" style="81" bestFit="1" customWidth="1"/>
    <col min="10" max="11" width="10.33203125" style="81" customWidth="1"/>
    <col min="12" max="13" width="11.109375" style="81" customWidth="1"/>
    <col min="14" max="14" width="8.77734375" style="81" customWidth="1"/>
    <col min="15" max="16" width="10.33203125" style="81" customWidth="1"/>
    <col min="17" max="17" width="9.33203125" customWidth="1"/>
    <col min="18" max="19" width="8.77734375" customWidth="1"/>
    <col min="20" max="25" width="8.33203125" customWidth="1"/>
    <col min="26" max="26" width="14.109375" style="118" bestFit="1" customWidth="1"/>
    <col min="27" max="27" width="12.6640625" style="118" bestFit="1" customWidth="1"/>
    <col min="28" max="28" width="10.109375" style="118" bestFit="1" customWidth="1"/>
    <col min="29" max="29" width="12.6640625" style="118" bestFit="1" customWidth="1"/>
    <col min="30" max="31" width="10.109375" style="118" customWidth="1"/>
    <col min="32" max="33" width="11.109375" style="118" customWidth="1"/>
    <col min="34" max="34" width="9.109375" style="118" customWidth="1"/>
    <col min="35" max="36" width="10.109375" style="118" customWidth="1"/>
    <col min="37" max="37" width="9.33203125" customWidth="1"/>
    <col min="38" max="39" width="8.77734375" customWidth="1"/>
    <col min="40" max="45" width="8.33203125" customWidth="1"/>
    <col min="46" max="46" width="12" style="76" customWidth="1"/>
    <col min="47" max="48" width="12" style="5" customWidth="1"/>
    <col min="49" max="49" width="11.77734375" customWidth="1"/>
  </cols>
  <sheetData>
    <row r="1" spans="1:48" ht="15" thickBot="1" x14ac:dyDescent="0.3">
      <c r="A1" s="174" t="s">
        <v>1245</v>
      </c>
      <c r="B1" s="174"/>
      <c r="C1" s="174"/>
      <c r="D1" s="174"/>
      <c r="E1" s="174"/>
      <c r="F1" s="175" t="s">
        <v>1246</v>
      </c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6" t="s">
        <v>1247</v>
      </c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59" t="s">
        <v>542</v>
      </c>
      <c r="AU1" s="160"/>
      <c r="AV1" s="160"/>
    </row>
    <row r="2" spans="1:48" ht="29.7" customHeight="1" x14ac:dyDescent="0.25">
      <c r="A2" s="178" t="s">
        <v>22</v>
      </c>
      <c r="B2" s="180" t="s">
        <v>24</v>
      </c>
      <c r="C2" s="184" t="s">
        <v>1262</v>
      </c>
      <c r="D2" s="180" t="s">
        <v>26</v>
      </c>
      <c r="E2" s="180" t="s">
        <v>1228</v>
      </c>
      <c r="F2" s="182" t="s">
        <v>1261</v>
      </c>
      <c r="G2" s="161" t="s">
        <v>30</v>
      </c>
      <c r="H2" s="162"/>
      <c r="I2" s="162"/>
      <c r="J2" s="162"/>
      <c r="K2" s="162"/>
      <c r="L2" s="162"/>
      <c r="M2" s="162"/>
      <c r="N2" s="162"/>
      <c r="O2" s="162"/>
      <c r="P2" s="163"/>
      <c r="Q2" s="173" t="s">
        <v>1230</v>
      </c>
      <c r="R2" s="173"/>
      <c r="S2" s="173"/>
      <c r="T2" s="171" t="s">
        <v>562</v>
      </c>
      <c r="U2" s="171" t="s">
        <v>563</v>
      </c>
      <c r="V2" s="171" t="s">
        <v>930</v>
      </c>
      <c r="W2" s="171" t="s">
        <v>931</v>
      </c>
      <c r="X2" s="171" t="s">
        <v>1273</v>
      </c>
      <c r="Y2" s="171" t="s">
        <v>1275</v>
      </c>
      <c r="Z2" s="167" t="s">
        <v>1261</v>
      </c>
      <c r="AA2" s="164" t="s">
        <v>30</v>
      </c>
      <c r="AB2" s="165"/>
      <c r="AC2" s="165"/>
      <c r="AD2" s="165"/>
      <c r="AE2" s="165"/>
      <c r="AF2" s="165"/>
      <c r="AG2" s="165"/>
      <c r="AH2" s="165"/>
      <c r="AI2" s="165"/>
      <c r="AJ2" s="166"/>
      <c r="AK2" s="177" t="s">
        <v>1230</v>
      </c>
      <c r="AL2" s="177"/>
      <c r="AM2" s="177"/>
      <c r="AN2" s="169" t="s">
        <v>562</v>
      </c>
      <c r="AO2" s="169" t="s">
        <v>563</v>
      </c>
      <c r="AP2" s="169" t="s">
        <v>930</v>
      </c>
      <c r="AQ2" s="169" t="s">
        <v>931</v>
      </c>
      <c r="AR2" s="169" t="s">
        <v>1236</v>
      </c>
      <c r="AS2" s="169" t="s">
        <v>1237</v>
      </c>
      <c r="AT2" s="156" t="s">
        <v>695</v>
      </c>
      <c r="AU2" s="157"/>
      <c r="AV2" s="158"/>
    </row>
    <row r="3" spans="1:48" s="13" customFormat="1" ht="29.4" thickBot="1" x14ac:dyDescent="0.3">
      <c r="A3" s="179"/>
      <c r="B3" s="181"/>
      <c r="C3" s="185"/>
      <c r="D3" s="181"/>
      <c r="E3" s="181"/>
      <c r="F3" s="183"/>
      <c r="G3" s="82" t="s">
        <v>27</v>
      </c>
      <c r="H3" s="82" t="s">
        <v>28</v>
      </c>
      <c r="I3" s="82" t="s">
        <v>1229</v>
      </c>
      <c r="J3" s="82" t="s">
        <v>1238</v>
      </c>
      <c r="K3" s="82" t="s">
        <v>1239</v>
      </c>
      <c r="L3" s="82" t="s">
        <v>1240</v>
      </c>
      <c r="M3" s="82" t="s">
        <v>1241</v>
      </c>
      <c r="N3" s="82" t="s">
        <v>1244</v>
      </c>
      <c r="O3" s="82" t="s">
        <v>1243</v>
      </c>
      <c r="P3" s="82" t="s">
        <v>1242</v>
      </c>
      <c r="Q3" s="7" t="s">
        <v>1231</v>
      </c>
      <c r="R3" s="7" t="s">
        <v>1232</v>
      </c>
      <c r="S3" s="7" t="s">
        <v>1233</v>
      </c>
      <c r="T3" s="172"/>
      <c r="U3" s="172"/>
      <c r="V3" s="172"/>
      <c r="W3" s="172"/>
      <c r="X3" s="172"/>
      <c r="Y3" s="172"/>
      <c r="Z3" s="168"/>
      <c r="AA3" s="120" t="s">
        <v>27</v>
      </c>
      <c r="AB3" s="120" t="s">
        <v>28</v>
      </c>
      <c r="AC3" s="120" t="s">
        <v>1229</v>
      </c>
      <c r="AD3" s="120" t="s">
        <v>1238</v>
      </c>
      <c r="AE3" s="120" t="s">
        <v>1239</v>
      </c>
      <c r="AF3" s="120" t="s">
        <v>1240</v>
      </c>
      <c r="AG3" s="120" t="s">
        <v>1241</v>
      </c>
      <c r="AH3" s="120" t="s">
        <v>1244</v>
      </c>
      <c r="AI3" s="120" t="s">
        <v>1243</v>
      </c>
      <c r="AJ3" s="120" t="s">
        <v>1242</v>
      </c>
      <c r="AK3" s="8" t="s">
        <v>1231</v>
      </c>
      <c r="AL3" s="8" t="s">
        <v>1232</v>
      </c>
      <c r="AM3" s="8" t="s">
        <v>1233</v>
      </c>
      <c r="AN3" s="170"/>
      <c r="AO3" s="170"/>
      <c r="AP3" s="170"/>
      <c r="AQ3" s="170"/>
      <c r="AR3" s="170"/>
      <c r="AS3" s="170"/>
      <c r="AT3" s="72" t="s">
        <v>1231</v>
      </c>
      <c r="AU3" s="14" t="s">
        <v>1232</v>
      </c>
      <c r="AV3" s="79" t="s">
        <v>1233</v>
      </c>
    </row>
    <row r="4" spans="1:48" ht="58.2" hidden="1" thickBot="1" x14ac:dyDescent="0.3">
      <c r="A4" s="78" t="s">
        <v>23</v>
      </c>
      <c r="B4" s="78" t="s">
        <v>25</v>
      </c>
      <c r="C4" s="80" t="s">
        <v>25</v>
      </c>
      <c r="D4" s="78" t="s">
        <v>696</v>
      </c>
      <c r="E4" s="78" t="s">
        <v>696</v>
      </c>
      <c r="F4" s="80" t="s">
        <v>29</v>
      </c>
      <c r="G4" s="80" t="s">
        <v>31</v>
      </c>
      <c r="H4" s="80" t="s">
        <v>32</v>
      </c>
      <c r="I4" s="80" t="s">
        <v>33</v>
      </c>
      <c r="J4" s="80"/>
      <c r="K4" s="80"/>
      <c r="L4" s="80"/>
      <c r="M4" s="80"/>
      <c r="N4" s="80"/>
      <c r="O4" s="80"/>
      <c r="P4" s="80"/>
      <c r="Q4" s="78" t="s">
        <v>34</v>
      </c>
      <c r="R4" s="78" t="s">
        <v>35</v>
      </c>
      <c r="S4" s="78" t="s">
        <v>36</v>
      </c>
      <c r="T4" s="78" t="s">
        <v>37</v>
      </c>
      <c r="U4" s="78" t="s">
        <v>38</v>
      </c>
      <c r="V4" s="78" t="s">
        <v>932</v>
      </c>
      <c r="W4" s="78" t="s">
        <v>933</v>
      </c>
      <c r="X4" s="78" t="s">
        <v>934</v>
      </c>
      <c r="Y4" s="78" t="s">
        <v>935</v>
      </c>
      <c r="Z4" s="121" t="s">
        <v>39</v>
      </c>
      <c r="AA4" s="121" t="s">
        <v>31</v>
      </c>
      <c r="AB4" s="121" t="s">
        <v>32</v>
      </c>
      <c r="AC4" s="121" t="s">
        <v>33</v>
      </c>
      <c r="AD4" s="121"/>
      <c r="AE4" s="121"/>
      <c r="AF4" s="121"/>
      <c r="AG4" s="121"/>
      <c r="AH4" s="121"/>
      <c r="AI4" s="121"/>
      <c r="AJ4" s="121"/>
      <c r="AK4" s="78" t="s">
        <v>40</v>
      </c>
      <c r="AL4" s="78" t="s">
        <v>41</v>
      </c>
      <c r="AM4" s="78" t="s">
        <v>42</v>
      </c>
      <c r="AN4" s="10" t="s">
        <v>43</v>
      </c>
      <c r="AO4" s="10" t="s">
        <v>44</v>
      </c>
      <c r="AP4" s="10" t="s">
        <v>936</v>
      </c>
      <c r="AQ4" s="10" t="s">
        <v>937</v>
      </c>
      <c r="AR4" s="10" t="s">
        <v>938</v>
      </c>
      <c r="AS4" s="10" t="s">
        <v>939</v>
      </c>
      <c r="AT4" s="73" t="s">
        <v>45</v>
      </c>
      <c r="AU4" s="15" t="s">
        <v>46</v>
      </c>
      <c r="AV4" s="15" t="s">
        <v>47</v>
      </c>
    </row>
    <row r="5" spans="1:48" x14ac:dyDescent="0.25">
      <c r="A5" s="91" t="s">
        <v>1234</v>
      </c>
      <c r="B5" s="90" t="s">
        <v>48</v>
      </c>
      <c r="C5" s="92">
        <v>567724</v>
      </c>
      <c r="D5" s="93">
        <v>18</v>
      </c>
      <c r="E5" s="93">
        <v>12</v>
      </c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94"/>
      <c r="R5" s="94"/>
      <c r="S5" s="94"/>
      <c r="T5" s="94"/>
      <c r="U5" s="94"/>
      <c r="V5" s="94"/>
      <c r="W5" s="94"/>
      <c r="X5" s="94"/>
      <c r="Y5" s="94"/>
      <c r="Z5" s="117"/>
      <c r="AA5" s="117"/>
      <c r="AB5" s="117"/>
      <c r="AC5" s="117"/>
      <c r="AD5" s="117"/>
      <c r="AE5" s="117"/>
      <c r="AF5" s="117"/>
      <c r="AG5" s="117"/>
      <c r="AH5" s="117"/>
      <c r="AI5" s="117"/>
      <c r="AJ5" s="117"/>
      <c r="AK5" s="94"/>
      <c r="AL5" s="94"/>
      <c r="AM5" s="95"/>
      <c r="AT5" s="74" cm="1">
        <f t="array" ref="AT5">bdRateHermite(G5:G9,Q5:Q9,AA5:AA9,AK5:AK9)</f>
        <v>0</v>
      </c>
      <c r="AU5" s="17" cm="1">
        <f t="array" ref="AU5">bdRateHermite(G5:G9,R5:R9,AA5:AA9,AL5:AL9)</f>
        <v>0</v>
      </c>
      <c r="AV5" s="20" cm="1">
        <f t="array" ref="AV5">bdRateHermite(G5:G9,S5:S9,AA5:AA9,AM5:AM9)</f>
        <v>0</v>
      </c>
    </row>
    <row r="6" spans="1:48" outlineLevel="1" x14ac:dyDescent="0.25">
      <c r="A6" s="96" t="s">
        <v>1234</v>
      </c>
      <c r="B6" s="12" t="s">
        <v>49</v>
      </c>
      <c r="C6" s="97">
        <v>567724</v>
      </c>
      <c r="D6" s="22">
        <v>18</v>
      </c>
      <c r="E6" s="22">
        <v>12</v>
      </c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AM6" s="98"/>
      <c r="AT6" s="75"/>
      <c r="AU6" s="16"/>
      <c r="AV6" s="21"/>
    </row>
    <row r="7" spans="1:48" outlineLevel="1" x14ac:dyDescent="0.25">
      <c r="A7" s="96" t="s">
        <v>1234</v>
      </c>
      <c r="B7" s="12" t="s">
        <v>50</v>
      </c>
      <c r="C7" s="97">
        <v>567724</v>
      </c>
      <c r="D7" s="22">
        <v>18</v>
      </c>
      <c r="E7" s="22">
        <v>12</v>
      </c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AM7" s="98"/>
      <c r="AT7" s="75"/>
      <c r="AU7" s="16"/>
      <c r="AV7" s="21"/>
    </row>
    <row r="8" spans="1:48" outlineLevel="1" x14ac:dyDescent="0.25">
      <c r="A8" s="96" t="s">
        <v>1234</v>
      </c>
      <c r="B8" s="12" t="s">
        <v>51</v>
      </c>
      <c r="C8" s="97">
        <v>567724</v>
      </c>
      <c r="D8" s="22">
        <v>18</v>
      </c>
      <c r="E8" s="22">
        <v>12</v>
      </c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AM8" s="98"/>
      <c r="AT8" s="75"/>
      <c r="AU8" s="16"/>
      <c r="AV8" s="21"/>
    </row>
    <row r="9" spans="1:48" ht="15" outlineLevel="1" thickBot="1" x14ac:dyDescent="0.3">
      <c r="A9" s="19" t="s">
        <v>1234</v>
      </c>
      <c r="B9" s="99" t="s">
        <v>52</v>
      </c>
      <c r="C9" s="100">
        <v>567724</v>
      </c>
      <c r="D9" s="53">
        <v>18</v>
      </c>
      <c r="E9" s="53">
        <v>12</v>
      </c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01"/>
      <c r="R9" s="101"/>
      <c r="S9" s="101"/>
      <c r="T9" s="101"/>
      <c r="U9" s="101"/>
      <c r="V9" s="101"/>
      <c r="W9" s="101"/>
      <c r="X9" s="101"/>
      <c r="Y9" s="101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01"/>
      <c r="AL9" s="101"/>
      <c r="AM9" s="102"/>
      <c r="AT9" s="75"/>
      <c r="AU9" s="16"/>
      <c r="AV9" s="21"/>
    </row>
    <row r="10" spans="1:48" x14ac:dyDescent="0.25">
      <c r="A10" s="91" t="s">
        <v>1235</v>
      </c>
      <c r="B10" s="90" t="s">
        <v>48</v>
      </c>
      <c r="C10" s="103">
        <v>423249</v>
      </c>
      <c r="D10" s="93">
        <v>18</v>
      </c>
      <c r="E10" s="93">
        <v>12</v>
      </c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7"/>
      <c r="Q10" s="94"/>
      <c r="R10" s="94"/>
      <c r="S10" s="94"/>
      <c r="T10" s="94"/>
      <c r="U10" s="94"/>
      <c r="V10" s="94"/>
      <c r="W10" s="94"/>
      <c r="X10" s="94"/>
      <c r="Y10" s="94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94"/>
      <c r="AL10" s="94"/>
      <c r="AM10" s="95"/>
      <c r="AT10" s="74" cm="1">
        <f t="array" ref="AT10">bdRateHermite(G10:G14,Q10:Q14,AA10:AA14,AK10:AK14)</f>
        <v>0</v>
      </c>
      <c r="AU10" s="17" cm="1">
        <f t="array" ref="AU10">bdRateHermite(G10:G14,R10:R14,AA10:AA14,AL10:AL14)</f>
        <v>0</v>
      </c>
      <c r="AV10" s="20" cm="1">
        <f t="array" ref="AV10">bdRateHermite(G10:G14,S10:S14,AA10:AA14,AM10:AM14)</f>
        <v>0</v>
      </c>
    </row>
    <row r="11" spans="1:48" outlineLevel="1" x14ac:dyDescent="0.25">
      <c r="A11" s="96" t="s">
        <v>1235</v>
      </c>
      <c r="B11" s="12" t="s">
        <v>49</v>
      </c>
      <c r="C11" s="81">
        <v>423249</v>
      </c>
      <c r="D11" s="22">
        <v>18</v>
      </c>
      <c r="E11" s="22">
        <v>12</v>
      </c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AM11" s="98"/>
      <c r="AT11" s="75"/>
      <c r="AU11" s="16"/>
      <c r="AV11" s="21"/>
    </row>
    <row r="12" spans="1:48" outlineLevel="1" x14ac:dyDescent="0.25">
      <c r="A12" s="96" t="s">
        <v>1235</v>
      </c>
      <c r="B12" s="12" t="s">
        <v>50</v>
      </c>
      <c r="C12" s="81">
        <v>423249</v>
      </c>
      <c r="D12" s="22">
        <v>18</v>
      </c>
      <c r="E12" s="22">
        <v>12</v>
      </c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AM12" s="98"/>
      <c r="AT12" s="75"/>
      <c r="AU12" s="16"/>
      <c r="AV12" s="21"/>
    </row>
    <row r="13" spans="1:48" outlineLevel="1" x14ac:dyDescent="0.25">
      <c r="A13" s="96" t="s">
        <v>1235</v>
      </c>
      <c r="B13" s="12" t="s">
        <v>51</v>
      </c>
      <c r="C13" s="81">
        <v>423249</v>
      </c>
      <c r="D13" s="22">
        <v>18</v>
      </c>
      <c r="E13" s="22">
        <v>12</v>
      </c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AM13" s="98"/>
      <c r="AT13" s="75"/>
      <c r="AU13" s="16"/>
      <c r="AV13" s="21"/>
    </row>
    <row r="14" spans="1:48" ht="15" outlineLevel="1" thickBot="1" x14ac:dyDescent="0.3">
      <c r="A14" s="19" t="s">
        <v>1235</v>
      </c>
      <c r="B14" s="99" t="s">
        <v>52</v>
      </c>
      <c r="C14" s="104">
        <v>423249</v>
      </c>
      <c r="D14" s="53">
        <v>18</v>
      </c>
      <c r="E14" s="53">
        <v>12</v>
      </c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01"/>
      <c r="R14" s="101"/>
      <c r="S14" s="101"/>
      <c r="T14" s="101"/>
      <c r="U14" s="101"/>
      <c r="V14" s="101"/>
      <c r="W14" s="101"/>
      <c r="X14" s="101"/>
      <c r="Y14" s="101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01"/>
      <c r="AL14" s="101"/>
      <c r="AM14" s="102"/>
      <c r="AT14" s="75"/>
      <c r="AU14" s="16"/>
      <c r="AV14" s="21"/>
    </row>
    <row r="15" spans="1:48" x14ac:dyDescent="0.25">
      <c r="A15" s="91" t="s">
        <v>1263</v>
      </c>
      <c r="B15" s="90" t="s">
        <v>48</v>
      </c>
      <c r="C15" s="103">
        <v>157265</v>
      </c>
      <c r="D15" s="93">
        <v>18</v>
      </c>
      <c r="E15" s="93">
        <v>12</v>
      </c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94"/>
      <c r="R15" s="94"/>
      <c r="S15" s="94"/>
      <c r="T15" s="94"/>
      <c r="U15" s="94"/>
      <c r="V15" s="94"/>
      <c r="W15" s="94"/>
      <c r="X15" s="94"/>
      <c r="Y15" s="94"/>
      <c r="Z15" s="117"/>
      <c r="AA15" s="117"/>
      <c r="AB15" s="117"/>
      <c r="AC15" s="117"/>
      <c r="AD15" s="117"/>
      <c r="AE15" s="117"/>
      <c r="AF15" s="117"/>
      <c r="AG15" s="117"/>
      <c r="AH15" s="117"/>
      <c r="AI15" s="117"/>
      <c r="AJ15" s="117"/>
      <c r="AK15" s="94"/>
      <c r="AL15" s="94"/>
      <c r="AM15" s="94"/>
      <c r="AT15" s="74" cm="1">
        <f t="array" ref="AT15">bdRateHermite(G15:G19,Q15:Q19,AA15:AA19,AK15:AK19)</f>
        <v>0</v>
      </c>
      <c r="AU15" s="17" cm="1">
        <f t="array" ref="AU15">bdRateHermite(G15:G19,R15:R19,AA15:AA19,AL15:AL19)</f>
        <v>0</v>
      </c>
      <c r="AV15" s="20" cm="1">
        <f t="array" ref="AV15">bdRateHermite(G15:G19,S15:S19,AA15:AA19,AM15:AM19)</f>
        <v>0</v>
      </c>
    </row>
    <row r="16" spans="1:48" outlineLevel="1" x14ac:dyDescent="0.25">
      <c r="A16" s="96" t="s">
        <v>1263</v>
      </c>
      <c r="B16" s="12" t="s">
        <v>49</v>
      </c>
      <c r="C16" s="81">
        <v>157265</v>
      </c>
      <c r="D16" s="22">
        <v>18</v>
      </c>
      <c r="E16" s="22">
        <v>12</v>
      </c>
      <c r="AT16" s="75"/>
      <c r="AU16" s="16"/>
      <c r="AV16" s="21"/>
    </row>
    <row r="17" spans="1:48" outlineLevel="1" x14ac:dyDescent="0.25">
      <c r="A17" s="96" t="s">
        <v>1263</v>
      </c>
      <c r="B17" s="12" t="s">
        <v>50</v>
      </c>
      <c r="C17" s="81">
        <v>157265</v>
      </c>
      <c r="D17" s="22">
        <v>18</v>
      </c>
      <c r="E17" s="22">
        <v>12</v>
      </c>
      <c r="AT17" s="75"/>
      <c r="AU17" s="16"/>
      <c r="AV17" s="21"/>
    </row>
    <row r="18" spans="1:48" outlineLevel="1" x14ac:dyDescent="0.25">
      <c r="A18" s="96" t="s">
        <v>1263</v>
      </c>
      <c r="B18" s="12" t="s">
        <v>51</v>
      </c>
      <c r="C18" s="81">
        <v>157265</v>
      </c>
      <c r="D18" s="22">
        <v>18</v>
      </c>
      <c r="E18" s="22">
        <v>12</v>
      </c>
      <c r="AT18" s="75"/>
      <c r="AU18" s="16"/>
      <c r="AV18" s="21"/>
    </row>
    <row r="19" spans="1:48" ht="15" outlineLevel="1" thickBot="1" x14ac:dyDescent="0.3">
      <c r="A19" s="19" t="s">
        <v>1263</v>
      </c>
      <c r="B19" s="99" t="s">
        <v>52</v>
      </c>
      <c r="C19" s="104">
        <v>157265</v>
      </c>
      <c r="D19" s="53">
        <v>18</v>
      </c>
      <c r="E19" s="53">
        <v>12</v>
      </c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1"/>
      <c r="R19" s="101"/>
      <c r="S19" s="101"/>
      <c r="T19" s="101"/>
      <c r="U19" s="101"/>
      <c r="V19" s="101"/>
      <c r="W19" s="101"/>
      <c r="X19" s="101"/>
      <c r="Y19" s="101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01"/>
      <c r="AL19" s="101"/>
      <c r="AM19" s="101"/>
      <c r="AT19" s="75"/>
      <c r="AU19" s="16"/>
      <c r="AV19" s="21"/>
    </row>
    <row r="20" spans="1:48" x14ac:dyDescent="0.25">
      <c r="A20" s="91" t="s">
        <v>1264</v>
      </c>
      <c r="B20" s="90" t="s">
        <v>48</v>
      </c>
      <c r="C20" s="103">
        <v>199932</v>
      </c>
      <c r="D20" s="93">
        <v>18</v>
      </c>
      <c r="E20" s="93">
        <v>12</v>
      </c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94"/>
      <c r="R20" s="94"/>
      <c r="S20" s="94"/>
      <c r="T20" s="94"/>
      <c r="U20" s="94"/>
      <c r="V20" s="94"/>
      <c r="W20" s="94"/>
      <c r="X20" s="94"/>
      <c r="Y20" s="94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94"/>
      <c r="AL20" s="94"/>
      <c r="AM20" s="94"/>
      <c r="AT20" s="74" cm="1">
        <f t="array" ref="AT20">bdRateHermite(G20:G24,Q20:Q24,AA20:AA24,AK20:AK24)</f>
        <v>0</v>
      </c>
      <c r="AU20" s="17" cm="1">
        <f t="array" ref="AU20">bdRateHermite(G20:G24,R20:R24,AA20:AA24,AL20:AL24)</f>
        <v>0</v>
      </c>
      <c r="AV20" s="20" cm="1">
        <f t="array" ref="AV20">bdRateHermite(G20:G24,S20:S24,AA20:AA24,AM20:AM24)</f>
        <v>0</v>
      </c>
    </row>
    <row r="21" spans="1:48" outlineLevel="1" x14ac:dyDescent="0.25">
      <c r="A21" s="108" t="s">
        <v>1264</v>
      </c>
      <c r="B21" s="12" t="s">
        <v>49</v>
      </c>
      <c r="C21" s="81">
        <v>199932</v>
      </c>
      <c r="D21" s="22">
        <v>18</v>
      </c>
      <c r="E21" s="22">
        <v>12</v>
      </c>
      <c r="AT21" s="75"/>
      <c r="AU21" s="16"/>
      <c r="AV21" s="21"/>
    </row>
    <row r="22" spans="1:48" outlineLevel="1" x14ac:dyDescent="0.25">
      <c r="A22" s="108" t="s">
        <v>1264</v>
      </c>
      <c r="B22" s="12" t="s">
        <v>50</v>
      </c>
      <c r="C22" s="81">
        <v>199932</v>
      </c>
      <c r="D22" s="22">
        <v>18</v>
      </c>
      <c r="E22" s="22">
        <v>12</v>
      </c>
      <c r="AT22" s="75"/>
      <c r="AU22" s="16"/>
      <c r="AV22" s="21"/>
    </row>
    <row r="23" spans="1:48" outlineLevel="1" x14ac:dyDescent="0.25">
      <c r="A23" s="108" t="s">
        <v>1264</v>
      </c>
      <c r="B23" s="12" t="s">
        <v>51</v>
      </c>
      <c r="C23" s="81">
        <v>199932</v>
      </c>
      <c r="D23" s="22">
        <v>18</v>
      </c>
      <c r="E23" s="22">
        <v>12</v>
      </c>
      <c r="AT23" s="75"/>
      <c r="AU23" s="16"/>
      <c r="AV23" s="21"/>
    </row>
    <row r="24" spans="1:48" ht="15" outlineLevel="1" thickBot="1" x14ac:dyDescent="0.3">
      <c r="A24" s="109" t="s">
        <v>1264</v>
      </c>
      <c r="B24" s="99" t="s">
        <v>52</v>
      </c>
      <c r="C24" s="104">
        <v>199932</v>
      </c>
      <c r="D24" s="53">
        <v>18</v>
      </c>
      <c r="E24" s="53">
        <v>12</v>
      </c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1"/>
      <c r="R24" s="101"/>
      <c r="S24" s="101"/>
      <c r="T24" s="101"/>
      <c r="U24" s="101"/>
      <c r="V24" s="101"/>
      <c r="W24" s="101"/>
      <c r="X24" s="101"/>
      <c r="Y24" s="101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01"/>
      <c r="AL24" s="101"/>
      <c r="AM24" s="101"/>
      <c r="AT24" s="105"/>
      <c r="AU24" s="106"/>
      <c r="AV24" s="107"/>
    </row>
    <row r="25" spans="1:48" x14ac:dyDescent="0.25">
      <c r="A25" s="110" t="s">
        <v>1265</v>
      </c>
      <c r="B25" s="90" t="s">
        <v>48</v>
      </c>
      <c r="C25" s="103">
        <v>4899964</v>
      </c>
      <c r="D25" s="93">
        <v>18</v>
      </c>
      <c r="E25" s="93">
        <v>12</v>
      </c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94"/>
      <c r="R25" s="94"/>
      <c r="S25" s="94"/>
      <c r="T25" s="94"/>
      <c r="U25" s="94"/>
      <c r="V25" s="94"/>
      <c r="W25" s="94"/>
      <c r="X25" s="94"/>
      <c r="Y25" s="94"/>
      <c r="Z25" s="117"/>
      <c r="AA25" s="117"/>
      <c r="AB25" s="117"/>
      <c r="AC25" s="117"/>
      <c r="AD25" s="117"/>
      <c r="AE25" s="117"/>
      <c r="AF25" s="117"/>
      <c r="AG25" s="117"/>
      <c r="AH25" s="117"/>
      <c r="AI25" s="117"/>
      <c r="AJ25" s="117"/>
      <c r="AK25" s="94"/>
      <c r="AL25" s="94"/>
      <c r="AM25" s="94"/>
      <c r="AN25" s="94"/>
      <c r="AO25" s="94"/>
      <c r="AP25" s="94"/>
      <c r="AQ25" s="94"/>
      <c r="AR25" s="94"/>
      <c r="AS25" s="94"/>
      <c r="AT25" s="111" cm="1">
        <f t="array" ref="AT25">bdRateHermite(G25:G29,Q25:Q29,AA25:AA29,AK25:AK29)</f>
        <v>0</v>
      </c>
      <c r="AU25" s="17" cm="1">
        <f t="array" ref="AU25">bdRateHermite(G25:G29,R25:R29,AA25:AA29,AL25:AL29)</f>
        <v>0</v>
      </c>
      <c r="AV25" s="20" cm="1">
        <f t="array" ref="AV25">bdRateHermite(G25:G29,S25:S29,AA25:AA29,AM25:AM29)</f>
        <v>0</v>
      </c>
    </row>
    <row r="26" spans="1:48" x14ac:dyDescent="0.25">
      <c r="A26" s="108" t="s">
        <v>1265</v>
      </c>
      <c r="B26" s="12" t="s">
        <v>49</v>
      </c>
      <c r="C26" s="81">
        <v>4899964</v>
      </c>
      <c r="D26" s="22">
        <v>18</v>
      </c>
      <c r="E26" s="22">
        <v>12</v>
      </c>
      <c r="AT26" s="112"/>
      <c r="AU26" s="16"/>
      <c r="AV26" s="21"/>
    </row>
    <row r="27" spans="1:48" x14ac:dyDescent="0.25">
      <c r="A27" s="108" t="s">
        <v>1265</v>
      </c>
      <c r="B27" s="12" t="s">
        <v>50</v>
      </c>
      <c r="C27" s="81">
        <v>4899964</v>
      </c>
      <c r="D27" s="22">
        <v>18</v>
      </c>
      <c r="E27" s="22">
        <v>12</v>
      </c>
      <c r="AT27" s="112"/>
      <c r="AU27" s="16"/>
      <c r="AV27" s="21"/>
    </row>
    <row r="28" spans="1:48" x14ac:dyDescent="0.25">
      <c r="A28" s="108" t="s">
        <v>1265</v>
      </c>
      <c r="B28" s="12" t="s">
        <v>51</v>
      </c>
      <c r="C28" s="81">
        <v>4899964</v>
      </c>
      <c r="D28" s="22">
        <v>18</v>
      </c>
      <c r="E28" s="22">
        <v>12</v>
      </c>
      <c r="AT28" s="112"/>
      <c r="AU28" s="16"/>
      <c r="AV28" s="21"/>
    </row>
    <row r="29" spans="1:48" ht="15" thickBot="1" x14ac:dyDescent="0.3">
      <c r="A29" s="109" t="s">
        <v>1265</v>
      </c>
      <c r="B29" s="99" t="s">
        <v>52</v>
      </c>
      <c r="C29" s="104">
        <v>4899964</v>
      </c>
      <c r="D29" s="53">
        <v>18</v>
      </c>
      <c r="E29" s="53">
        <v>12</v>
      </c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1"/>
      <c r="R29" s="101"/>
      <c r="S29" s="101"/>
      <c r="T29" s="101"/>
      <c r="U29" s="101"/>
      <c r="V29" s="101"/>
      <c r="W29" s="101"/>
      <c r="X29" s="101"/>
      <c r="Y29" s="101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01"/>
      <c r="AL29" s="101"/>
      <c r="AM29" s="101"/>
      <c r="AN29" s="101"/>
      <c r="AO29" s="101"/>
      <c r="AP29" s="101"/>
      <c r="AQ29" s="101"/>
      <c r="AR29" s="101"/>
      <c r="AS29" s="101"/>
      <c r="AT29" s="113"/>
      <c r="AU29" s="106"/>
      <c r="AV29" s="107"/>
    </row>
    <row r="30" spans="1:48" x14ac:dyDescent="0.25">
      <c r="A30" s="110" t="s">
        <v>1266</v>
      </c>
      <c r="B30" s="90" t="s">
        <v>48</v>
      </c>
      <c r="C30" s="103">
        <v>4086843</v>
      </c>
      <c r="D30" s="93">
        <v>18</v>
      </c>
      <c r="E30" s="93">
        <v>12</v>
      </c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94"/>
      <c r="R30" s="94"/>
      <c r="S30" s="94"/>
      <c r="T30" s="94"/>
      <c r="U30" s="94"/>
      <c r="V30" s="94"/>
      <c r="W30" s="94"/>
      <c r="X30" s="94"/>
      <c r="Y30" s="94"/>
      <c r="Z30" s="117"/>
      <c r="AA30" s="117"/>
      <c r="AB30" s="117"/>
      <c r="AC30" s="117"/>
      <c r="AD30" s="117"/>
      <c r="AE30" s="117"/>
      <c r="AF30" s="117"/>
      <c r="AG30" s="117"/>
      <c r="AH30" s="117"/>
      <c r="AI30" s="117"/>
      <c r="AJ30" s="117"/>
      <c r="AK30" s="94"/>
      <c r="AL30" s="94"/>
      <c r="AM30" s="94"/>
      <c r="AN30" s="94"/>
      <c r="AO30" s="94"/>
      <c r="AP30" s="94"/>
      <c r="AQ30" s="94"/>
      <c r="AR30" s="94"/>
      <c r="AS30" s="94"/>
      <c r="AT30" s="111" cm="1">
        <f t="array" ref="AT30">bdRateHermite(G30:G34,Q30:Q34,AA30:AA34,AK30:AK34)</f>
        <v>0</v>
      </c>
      <c r="AU30" s="17" cm="1">
        <f t="array" ref="AU30">bdRateHermite(G30:G34,R30:R34,AA30:AA34,AL30:AL34)</f>
        <v>0</v>
      </c>
      <c r="AV30" s="20" cm="1">
        <f t="array" ref="AV30">bdRateHermite(G30:G34,S30:S34,AA30:AA34,AM30:AM34)</f>
        <v>0</v>
      </c>
    </row>
    <row r="31" spans="1:48" x14ac:dyDescent="0.25">
      <c r="A31" s="108" t="s">
        <v>1266</v>
      </c>
      <c r="B31" s="12" t="s">
        <v>49</v>
      </c>
      <c r="C31" s="81">
        <v>4086843</v>
      </c>
      <c r="D31" s="22">
        <v>18</v>
      </c>
      <c r="E31" s="22">
        <v>12</v>
      </c>
      <c r="AT31" s="112"/>
      <c r="AU31" s="16"/>
      <c r="AV31" s="21"/>
    </row>
    <row r="32" spans="1:48" x14ac:dyDescent="0.25">
      <c r="A32" s="108" t="s">
        <v>1266</v>
      </c>
      <c r="B32" s="12" t="s">
        <v>50</v>
      </c>
      <c r="C32" s="81">
        <v>4086843</v>
      </c>
      <c r="D32" s="22">
        <v>18</v>
      </c>
      <c r="E32" s="22">
        <v>12</v>
      </c>
      <c r="AT32" s="112"/>
      <c r="AU32" s="16"/>
      <c r="AV32" s="21"/>
    </row>
    <row r="33" spans="1:48" x14ac:dyDescent="0.25">
      <c r="A33" s="108" t="s">
        <v>1266</v>
      </c>
      <c r="B33" s="12" t="s">
        <v>51</v>
      </c>
      <c r="C33" s="81">
        <v>4086843</v>
      </c>
      <c r="D33" s="22">
        <v>18</v>
      </c>
      <c r="E33" s="22">
        <v>12</v>
      </c>
      <c r="AT33" s="112"/>
      <c r="AU33" s="16"/>
      <c r="AV33" s="21"/>
    </row>
    <row r="34" spans="1:48" ht="15" thickBot="1" x14ac:dyDescent="0.3">
      <c r="A34" s="109" t="s">
        <v>1266</v>
      </c>
      <c r="B34" s="99" t="s">
        <v>52</v>
      </c>
      <c r="C34" s="104">
        <v>4086843</v>
      </c>
      <c r="D34" s="53">
        <v>18</v>
      </c>
      <c r="E34" s="53">
        <v>12</v>
      </c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1"/>
      <c r="R34" s="101"/>
      <c r="S34" s="101"/>
      <c r="T34" s="101"/>
      <c r="U34" s="101"/>
      <c r="V34" s="101"/>
      <c r="W34" s="101"/>
      <c r="X34" s="101"/>
      <c r="Y34" s="101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01"/>
      <c r="AL34" s="101"/>
      <c r="AM34" s="101"/>
      <c r="AN34" s="101"/>
      <c r="AO34" s="101"/>
      <c r="AP34" s="101"/>
      <c r="AQ34" s="101"/>
      <c r="AR34" s="101"/>
      <c r="AS34" s="101"/>
      <c r="AT34" s="113"/>
      <c r="AU34" s="106"/>
      <c r="AV34" s="107"/>
    </row>
    <row r="35" spans="1:48" x14ac:dyDescent="0.25">
      <c r="A35" s="110" t="s">
        <v>1268</v>
      </c>
      <c r="B35" s="90" t="s">
        <v>48</v>
      </c>
      <c r="C35" s="103">
        <v>1999154</v>
      </c>
      <c r="D35" s="93">
        <v>18</v>
      </c>
      <c r="E35" s="93">
        <v>12</v>
      </c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94"/>
      <c r="R35" s="94"/>
      <c r="S35" s="94"/>
      <c r="T35" s="94"/>
      <c r="U35" s="94"/>
      <c r="V35" s="94"/>
      <c r="W35" s="94"/>
      <c r="X35" s="94"/>
      <c r="Y35" s="94"/>
      <c r="Z35" s="117"/>
      <c r="AA35" s="117"/>
      <c r="AB35" s="117"/>
      <c r="AC35" s="117"/>
      <c r="AD35" s="117"/>
      <c r="AE35" s="117"/>
      <c r="AF35" s="117"/>
      <c r="AG35" s="117"/>
      <c r="AH35" s="117"/>
      <c r="AI35" s="117"/>
      <c r="AJ35" s="117"/>
      <c r="AK35" s="94"/>
      <c r="AL35" s="94"/>
      <c r="AM35" s="95"/>
      <c r="AN35" s="94"/>
      <c r="AO35" s="94"/>
      <c r="AP35" s="94"/>
      <c r="AQ35" s="94"/>
      <c r="AR35" s="94"/>
      <c r="AS35" s="94"/>
      <c r="AT35" s="111" cm="1">
        <f t="array" ref="AT35">bdRateHermite(G35:G39,Q35:Q39,AA35:AA39,AK35:AK39)</f>
        <v>0</v>
      </c>
      <c r="AU35" s="17" cm="1">
        <f t="array" ref="AU35">bdRateHermite(G35:G39,R35:R39,AA35:AA39,AL35:AL39)</f>
        <v>0</v>
      </c>
      <c r="AV35" s="20" cm="1">
        <f t="array" ref="AV35">bdRateHermite(G35:G39,S35:S39,AA35:AA39,AM35:AM39)</f>
        <v>0</v>
      </c>
    </row>
    <row r="36" spans="1:48" x14ac:dyDescent="0.25">
      <c r="A36" s="108" t="s">
        <v>1268</v>
      </c>
      <c r="B36" s="12" t="s">
        <v>49</v>
      </c>
      <c r="C36" s="81">
        <v>1999154</v>
      </c>
      <c r="D36" s="22">
        <v>18</v>
      </c>
      <c r="E36" s="22">
        <v>12</v>
      </c>
      <c r="AM36" s="98"/>
      <c r="AT36" s="112"/>
      <c r="AU36" s="16"/>
      <c r="AV36" s="21"/>
    </row>
    <row r="37" spans="1:48" x14ac:dyDescent="0.25">
      <c r="A37" s="108" t="s">
        <v>1268</v>
      </c>
      <c r="B37" s="12" t="s">
        <v>50</v>
      </c>
      <c r="C37" s="81">
        <v>1999154</v>
      </c>
      <c r="D37" s="22">
        <v>18</v>
      </c>
      <c r="E37" s="22">
        <v>12</v>
      </c>
      <c r="AM37" s="98"/>
      <c r="AT37" s="112"/>
      <c r="AU37" s="16"/>
      <c r="AV37" s="21"/>
    </row>
    <row r="38" spans="1:48" x14ac:dyDescent="0.25">
      <c r="A38" s="108" t="s">
        <v>1268</v>
      </c>
      <c r="B38" s="12" t="s">
        <v>51</v>
      </c>
      <c r="C38" s="81">
        <v>1999154</v>
      </c>
      <c r="D38" s="22">
        <v>18</v>
      </c>
      <c r="E38" s="22">
        <v>12</v>
      </c>
      <c r="AM38" s="98"/>
      <c r="AT38" s="112"/>
      <c r="AU38" s="16"/>
      <c r="AV38" s="21"/>
    </row>
    <row r="39" spans="1:48" ht="15" thickBot="1" x14ac:dyDescent="0.3">
      <c r="A39" s="109" t="s">
        <v>1268</v>
      </c>
      <c r="B39" s="99" t="s">
        <v>52</v>
      </c>
      <c r="C39" s="104">
        <v>1999154</v>
      </c>
      <c r="D39" s="53">
        <v>18</v>
      </c>
      <c r="E39" s="53">
        <v>12</v>
      </c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1"/>
      <c r="R39" s="101"/>
      <c r="S39" s="101"/>
      <c r="T39" s="101"/>
      <c r="U39" s="101"/>
      <c r="V39" s="101"/>
      <c r="W39" s="101"/>
      <c r="X39" s="101"/>
      <c r="Y39" s="101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01"/>
      <c r="AL39" s="101"/>
      <c r="AM39" s="102"/>
      <c r="AN39" s="101"/>
      <c r="AO39" s="101"/>
      <c r="AP39" s="101"/>
      <c r="AQ39" s="101"/>
      <c r="AR39" s="101"/>
      <c r="AS39" s="101"/>
      <c r="AT39" s="113"/>
      <c r="AU39" s="106"/>
      <c r="AV39" s="107"/>
    </row>
    <row r="40" spans="1:48" x14ac:dyDescent="0.25">
      <c r="A40" s="110" t="s">
        <v>1267</v>
      </c>
      <c r="B40" s="90" t="s">
        <v>48</v>
      </c>
      <c r="C40" s="103">
        <v>1855373</v>
      </c>
      <c r="D40" s="93">
        <v>18</v>
      </c>
      <c r="E40" s="93">
        <v>12</v>
      </c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94"/>
      <c r="R40" s="94"/>
      <c r="S40" s="94"/>
      <c r="T40" s="94"/>
      <c r="U40" s="94"/>
      <c r="V40" s="94"/>
      <c r="W40" s="94"/>
      <c r="X40" s="94"/>
      <c r="Y40" s="94"/>
      <c r="Z40" s="117"/>
      <c r="AA40" s="117"/>
      <c r="AB40" s="117"/>
      <c r="AC40" s="117"/>
      <c r="AD40" s="117"/>
      <c r="AE40" s="117"/>
      <c r="AF40" s="117"/>
      <c r="AG40" s="117"/>
      <c r="AH40" s="117"/>
      <c r="AI40" s="117"/>
      <c r="AJ40" s="117"/>
      <c r="AK40" s="94"/>
      <c r="AL40" s="94"/>
      <c r="AM40" s="95"/>
      <c r="AN40" s="94"/>
      <c r="AO40" s="94"/>
      <c r="AP40" s="94"/>
      <c r="AQ40" s="94"/>
      <c r="AR40" s="94"/>
      <c r="AS40" s="94"/>
      <c r="AT40" s="111" cm="1">
        <f t="array" ref="AT40">bdRateHermite(G40:G44,Q40:Q44,AA40:AA44,AK40:AK44)</f>
        <v>0</v>
      </c>
      <c r="AU40" s="17" cm="1">
        <f t="array" ref="AU40">bdRateHermite(G40:G44,R40:R44,AA40:AA44,AL40:AL44)</f>
        <v>0</v>
      </c>
      <c r="AV40" s="20" cm="1">
        <f t="array" ref="AV40">bdRateHermite(G40:G44,S40:S44,AA40:AA44,AM40:AM44)</f>
        <v>0</v>
      </c>
    </row>
    <row r="41" spans="1:48" x14ac:dyDescent="0.25">
      <c r="A41" s="108" t="s">
        <v>1267</v>
      </c>
      <c r="B41" s="12" t="s">
        <v>49</v>
      </c>
      <c r="C41" s="81">
        <v>1855373</v>
      </c>
      <c r="D41" s="22">
        <v>18</v>
      </c>
      <c r="E41" s="22">
        <v>12</v>
      </c>
      <c r="AM41" s="98"/>
      <c r="AT41" s="112"/>
      <c r="AU41" s="16"/>
      <c r="AV41" s="21"/>
    </row>
    <row r="42" spans="1:48" x14ac:dyDescent="0.25">
      <c r="A42" s="108" t="s">
        <v>1267</v>
      </c>
      <c r="B42" s="12" t="s">
        <v>50</v>
      </c>
      <c r="C42" s="81">
        <v>1855373</v>
      </c>
      <c r="D42" s="22">
        <v>18</v>
      </c>
      <c r="E42" s="22">
        <v>12</v>
      </c>
      <c r="AM42" s="98"/>
      <c r="AT42" s="112"/>
      <c r="AU42" s="16"/>
      <c r="AV42" s="21"/>
    </row>
    <row r="43" spans="1:48" x14ac:dyDescent="0.25">
      <c r="A43" s="108" t="s">
        <v>1267</v>
      </c>
      <c r="B43" s="12" t="s">
        <v>51</v>
      </c>
      <c r="C43" s="81">
        <v>1855373</v>
      </c>
      <c r="D43" s="22">
        <v>18</v>
      </c>
      <c r="E43" s="22">
        <v>12</v>
      </c>
      <c r="AM43" s="98"/>
      <c r="AT43" s="112"/>
      <c r="AU43" s="16"/>
      <c r="AV43" s="21"/>
    </row>
    <row r="44" spans="1:48" ht="15" thickBot="1" x14ac:dyDescent="0.3">
      <c r="A44" s="109" t="s">
        <v>1267</v>
      </c>
      <c r="B44" s="99" t="s">
        <v>52</v>
      </c>
      <c r="C44" s="104">
        <v>1855373</v>
      </c>
      <c r="D44" s="53">
        <v>18</v>
      </c>
      <c r="E44" s="53">
        <v>12</v>
      </c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1"/>
      <c r="R44" s="101"/>
      <c r="S44" s="101"/>
      <c r="T44" s="101"/>
      <c r="U44" s="101"/>
      <c r="V44" s="101"/>
      <c r="W44" s="101"/>
      <c r="X44" s="101"/>
      <c r="Y44" s="101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01"/>
      <c r="AL44" s="101"/>
      <c r="AM44" s="102"/>
      <c r="AN44" s="101"/>
      <c r="AO44" s="101"/>
      <c r="AP44" s="101"/>
      <c r="AQ44" s="101"/>
      <c r="AR44" s="101"/>
      <c r="AS44" s="101"/>
      <c r="AT44" s="114"/>
      <c r="AU44" s="115"/>
      <c r="AV44" s="116"/>
    </row>
  </sheetData>
  <mergeCells count="28">
    <mergeCell ref="A1:E1"/>
    <mergeCell ref="F1:Y1"/>
    <mergeCell ref="Z1:AS1"/>
    <mergeCell ref="AK2:AM2"/>
    <mergeCell ref="AN2:AN3"/>
    <mergeCell ref="AO2:AO3"/>
    <mergeCell ref="A2:A3"/>
    <mergeCell ref="B2:B3"/>
    <mergeCell ref="F2:F3"/>
    <mergeCell ref="E2:E3"/>
    <mergeCell ref="AR2:AR3"/>
    <mergeCell ref="V2:V3"/>
    <mergeCell ref="C2:C3"/>
    <mergeCell ref="D2:D3"/>
    <mergeCell ref="AT2:AV2"/>
    <mergeCell ref="AT1:AV1"/>
    <mergeCell ref="G2:P2"/>
    <mergeCell ref="AA2:AJ2"/>
    <mergeCell ref="Z2:Z3"/>
    <mergeCell ref="AP2:AP3"/>
    <mergeCell ref="AQ2:AQ3"/>
    <mergeCell ref="W2:W3"/>
    <mergeCell ref="X2:X3"/>
    <mergeCell ref="Y2:Y3"/>
    <mergeCell ref="Q2:S2"/>
    <mergeCell ref="T2:T3"/>
    <mergeCell ref="U2:U3"/>
    <mergeCell ref="AS2:AS3"/>
  </mergeCells>
  <phoneticPr fontId="5" type="noConversion"/>
  <conditionalFormatting sqref="AT21:AV24 AT6:AV9 AT11:AV14 AT16:AV19 AT5 AT10 AT15 AT20">
    <cfRule type="cellIs" dxfId="45" priority="7708" operator="greaterThanOrEqual">
      <formula>0.03</formula>
    </cfRule>
    <cfRule type="cellIs" dxfId="44" priority="7709" operator="lessThanOrEqual">
      <formula>-0.03</formula>
    </cfRule>
  </conditionalFormatting>
  <conditionalFormatting sqref="AV5">
    <cfRule type="cellIs" dxfId="43" priority="6770" operator="greaterThanOrEqual">
      <formula>0.03</formula>
    </cfRule>
    <cfRule type="cellIs" dxfId="42" priority="6771" operator="lessThanOrEqual">
      <formula>-0.03</formula>
    </cfRule>
  </conditionalFormatting>
  <conditionalFormatting sqref="AU5">
    <cfRule type="cellIs" dxfId="41" priority="6764" operator="greaterThanOrEqual">
      <formula>0.03</formula>
    </cfRule>
    <cfRule type="cellIs" dxfId="40" priority="6765" operator="lessThanOrEqual">
      <formula>-0.03</formula>
    </cfRule>
  </conditionalFormatting>
  <conditionalFormatting sqref="AV10">
    <cfRule type="cellIs" dxfId="39" priority="51" operator="greaterThanOrEqual">
      <formula>0.03</formula>
    </cfRule>
    <cfRule type="cellIs" dxfId="38" priority="52" operator="lessThanOrEqual">
      <formula>-0.03</formula>
    </cfRule>
  </conditionalFormatting>
  <conditionalFormatting sqref="AU10">
    <cfRule type="cellIs" dxfId="37" priority="49" operator="greaterThanOrEqual">
      <formula>0.03</formula>
    </cfRule>
    <cfRule type="cellIs" dxfId="36" priority="50" operator="lessThanOrEqual">
      <formula>-0.03</formula>
    </cfRule>
  </conditionalFormatting>
  <conditionalFormatting sqref="AV15">
    <cfRule type="cellIs" dxfId="35" priority="47" operator="greaterThanOrEqual">
      <formula>0.03</formula>
    </cfRule>
    <cfRule type="cellIs" dxfId="34" priority="48" operator="lessThanOrEqual">
      <formula>-0.03</formula>
    </cfRule>
  </conditionalFormatting>
  <conditionalFormatting sqref="AU15">
    <cfRule type="cellIs" dxfId="33" priority="45" operator="greaterThanOrEqual">
      <formula>0.03</formula>
    </cfRule>
    <cfRule type="cellIs" dxfId="32" priority="46" operator="lessThanOrEqual">
      <formula>-0.03</formula>
    </cfRule>
  </conditionalFormatting>
  <conditionalFormatting sqref="AT26:AV29 AT25">
    <cfRule type="cellIs" dxfId="31" priority="39" operator="greaterThanOrEqual">
      <formula>0.03</formula>
    </cfRule>
    <cfRule type="cellIs" dxfId="30" priority="40" operator="lessThanOrEqual">
      <formula>-0.03</formula>
    </cfRule>
  </conditionalFormatting>
  <conditionalFormatting sqref="AV25">
    <cfRule type="cellIs" dxfId="29" priority="37" operator="greaterThanOrEqual">
      <formula>0.03</formula>
    </cfRule>
    <cfRule type="cellIs" dxfId="28" priority="38" operator="lessThanOrEqual">
      <formula>-0.03</formula>
    </cfRule>
  </conditionalFormatting>
  <conditionalFormatting sqref="AU25">
    <cfRule type="cellIs" dxfId="27" priority="35" operator="greaterThanOrEqual">
      <formula>0.03</formula>
    </cfRule>
    <cfRule type="cellIs" dxfId="26" priority="36" operator="lessThanOrEqual">
      <formula>-0.03</formula>
    </cfRule>
  </conditionalFormatting>
  <conditionalFormatting sqref="AT31:AV34 AT30">
    <cfRule type="cellIs" dxfId="25" priority="33" operator="greaterThanOrEqual">
      <formula>0.03</formula>
    </cfRule>
    <cfRule type="cellIs" dxfId="24" priority="34" operator="lessThanOrEqual">
      <formula>-0.03</formula>
    </cfRule>
  </conditionalFormatting>
  <conditionalFormatting sqref="AV30">
    <cfRule type="cellIs" dxfId="23" priority="31" operator="greaterThanOrEqual">
      <formula>0.03</formula>
    </cfRule>
    <cfRule type="cellIs" dxfId="22" priority="32" operator="lessThanOrEqual">
      <formula>-0.03</formula>
    </cfRule>
  </conditionalFormatting>
  <conditionalFormatting sqref="AU30">
    <cfRule type="cellIs" dxfId="21" priority="29" operator="greaterThanOrEqual">
      <formula>0.03</formula>
    </cfRule>
    <cfRule type="cellIs" dxfId="20" priority="30" operator="lessThanOrEqual">
      <formula>-0.03</formula>
    </cfRule>
  </conditionalFormatting>
  <conditionalFormatting sqref="AT36:AV39">
    <cfRule type="cellIs" dxfId="19" priority="27" operator="greaterThanOrEqual">
      <formula>0.03</formula>
    </cfRule>
    <cfRule type="cellIs" dxfId="18" priority="28" operator="lessThanOrEqual">
      <formula>-0.03</formula>
    </cfRule>
  </conditionalFormatting>
  <conditionalFormatting sqref="AT41:AV44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AV20">
    <cfRule type="cellIs" dxfId="15" priority="15" operator="greaterThanOrEqual">
      <formula>0.03</formula>
    </cfRule>
    <cfRule type="cellIs" dxfId="14" priority="16" operator="lessThanOrEqual">
      <formula>-0.03</formula>
    </cfRule>
  </conditionalFormatting>
  <conditionalFormatting sqref="AU20">
    <cfRule type="cellIs" dxfId="13" priority="13" operator="greaterThanOrEqual">
      <formula>0.03</formula>
    </cfRule>
    <cfRule type="cellIs" dxfId="12" priority="14" operator="lessThanOrEqual">
      <formula>-0.03</formula>
    </cfRule>
  </conditionalFormatting>
  <conditionalFormatting sqref="AT35">
    <cfRule type="cellIs" dxfId="11" priority="11" operator="greaterThanOrEqual">
      <formula>0.03</formula>
    </cfRule>
    <cfRule type="cellIs" dxfId="10" priority="12" operator="lessThanOrEqual">
      <formula>-0.03</formula>
    </cfRule>
  </conditionalFormatting>
  <conditionalFormatting sqref="AV35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AU35">
    <cfRule type="cellIs" dxfId="7" priority="7" operator="greaterThanOrEqual">
      <formula>0.03</formula>
    </cfRule>
    <cfRule type="cellIs" dxfId="6" priority="8" operator="lessThanOrEqual">
      <formula>-0.03</formula>
    </cfRule>
  </conditionalFormatting>
  <conditionalFormatting sqref="AT40">
    <cfRule type="cellIs" dxfId="5" priority="5" operator="greaterThanOrEqual">
      <formula>0.03</formula>
    </cfRule>
    <cfRule type="cellIs" dxfId="4" priority="6" operator="lessThanOrEqual">
      <formula>-0.03</formula>
    </cfRule>
  </conditionalFormatting>
  <conditionalFormatting sqref="AV40">
    <cfRule type="cellIs" dxfId="3" priority="3" operator="greaterThanOrEqual">
      <formula>0.03</formula>
    </cfRule>
    <cfRule type="cellIs" dxfId="2" priority="4" operator="lessThanOrEqual">
      <formula>-0.03</formula>
    </cfRule>
  </conditionalFormatting>
  <conditionalFormatting sqref="AU40">
    <cfRule type="cellIs" dxfId="1" priority="1" operator="greaterThanOrEqual">
      <formula>0.03</formula>
    </cfRule>
    <cfRule type="cellIs" dxfId="0" priority="2" operator="lessThanOrEqual">
      <formula>-0.03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Summary</vt:lpstr>
      <vt:lpstr>names</vt:lpstr>
      <vt:lpstr>Plot</vt:lpstr>
      <vt:lpstr>C1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N18175</dc:title>
  <dc:creator>Jean</dc:creator>
  <cp:lastModifiedBy>Wei Zhang</cp:lastModifiedBy>
  <dcterms:created xsi:type="dcterms:W3CDTF">2019-03-01T14:42:18Z</dcterms:created>
  <dcterms:modified xsi:type="dcterms:W3CDTF">2025-11-21T09:38:39Z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2019-03-01T14:42:18Z</vt:filetime>
  </property>
</Properties>
</file>